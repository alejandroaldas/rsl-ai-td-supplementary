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0_PRISMA" sheetId="2" state="visible" r:id="rId2"/>
    <sheet xmlns:r="http://schemas.openxmlformats.org/officeDocument/2006/relationships" name="S1_Search_strings" sheetId="3" state="visible" r:id="rId3"/>
    <sheet xmlns:r="http://schemas.openxmlformats.org/officeDocument/2006/relationships" name="S2_Criteria" sheetId="4" state="visible" r:id="rId4"/>
    <sheet xmlns:r="http://schemas.openxmlformats.org/officeDocument/2006/relationships" name="S3_Extraction" sheetId="5" state="visible" r:id="rId5"/>
    <sheet xmlns:r="http://schemas.openxmlformats.org/officeDocument/2006/relationships" name="S4a_Screening_main" sheetId="6" state="visible" r:id="rId6"/>
    <sheet xmlns:r="http://schemas.openxmlformats.org/officeDocument/2006/relationships" name="S4b_Screening_compl" sheetId="7" state="visible" r:id="rId7"/>
    <sheet xmlns:r="http://schemas.openxmlformats.org/officeDocument/2006/relationships" name="S5_Quality" sheetId="8" state="visible" r:id="rId8"/>
  </sheets>
  <definedNames>
    <definedName name="_xlnm._FilterDatabase" localSheetId="1" hidden="1">'S0_PRISMA'!$A$1:$C$23</definedName>
    <definedName name="_xlnm._FilterDatabase" localSheetId="2" hidden="1">'S1_Search_strings'!$A$1:$L$14</definedName>
    <definedName name="_xlnm._FilterDatabase" localSheetId="3" hidden="1">'S2_Criteria'!$A$1:$E$24</definedName>
    <definedName name="_xlnm._FilterDatabase" localSheetId="4" hidden="1">'S3_Extraction'!$A$1:$AC$37</definedName>
    <definedName name="_xlnm._FilterDatabase" localSheetId="5" hidden="1">'S4a_Screening_main'!$A$1:$K$142</definedName>
    <definedName name="_xlnm._FilterDatabase" localSheetId="6" hidden="1">'S4b_Screening_compl'!$A$1:$K$16</definedName>
    <definedName name="_xlnm._FilterDatabase" localSheetId="7" hidden="1">'S5_Quality'!$A$1:$J$37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color rgb="00FFFFFF"/>
      <sz val="10"/>
    </font>
    <font>
      <name val="Arial"/>
      <b val="1"/>
      <sz val="10"/>
    </font>
    <font>
      <name val="Arial"/>
      <color rgb="00008000"/>
      <sz val="10"/>
    </font>
  </fonts>
  <fills count="3">
    <fill>
      <patternFill/>
    </fill>
    <fill>
      <patternFill patternType="gray125"/>
    </fill>
    <fill>
      <patternFill patternType="solid">
        <fgColor rgb="001B2A4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Supplementary material — anonymized for double-blind review</t>
        </is>
      </c>
    </row>
    <row r="2">
      <c r="A2" s="2" t="inlineStr">
        <is>
          <t>AI-Induced Technical Debt in Code Generated by Large Language Models: A Systematic Literature Review Oriented to Its Prevention and Measurement</t>
        </is>
      </c>
    </row>
    <row r="3">
      <c r="A3" s="2" t="inlineStr">
        <is>
          <t>Complete protocol and decision record of the systematic literature review (PRISMA 2020; Kitchenham and Charters). Author information is withheld for review.</t>
        </is>
      </c>
    </row>
    <row r="4">
      <c r="A4" s="2" t="inlineStr"/>
    </row>
    <row r="5">
      <c r="A5" s="1" t="inlineStr">
        <is>
          <t>Sheets</t>
        </is>
      </c>
    </row>
    <row r="6">
      <c r="A6" s="2" t="inlineStr">
        <is>
          <t>S0_PRISMA — selection flow of both search arms (main B1–B10; directed complementary B11–B13).</t>
        </is>
      </c>
    </row>
    <row r="7">
      <c r="A7" s="2" t="inlineStr">
        <is>
          <t>S1_Search_strings — full Boolean text, topic, date, and per-database counts of B1–B13. In Scopus each string was wrapped in TITLE-ABS-KEY(...); in IEEE Xplore it was applied to title, abstract, and index terms. Scopus returned no export for B3 (empty cell); B13 returned no IEEE Xplore records (0).</t>
        </is>
      </c>
    </row>
    <row r="8">
      <c r="A8" s="2" t="inlineStr">
        <is>
          <t>S2_Criteria — inclusion criteria I1–I14, exclusion criterion E1, and reason codes.</t>
        </is>
      </c>
    </row>
    <row r="9">
      <c r="A9" s="2" t="inlineStr">
        <is>
          <t>S3_Extraction — the 36 included studies with all eighteen extraction fields. Complementary-arm studies (C01–C04) were coded with an abbreviated form; uncoded cells are empty.</t>
        </is>
      </c>
    </row>
    <row r="10">
      <c r="A10" s="2" t="inlineStr">
        <is>
          <t>S4a_Screening_main / S4b_Screening_compl — decision log of every record screened (141 main, 15 complementary): title/abstract (TA) and full-text (FT) decisions, reason code, and rationale. Duplicates removed by the screening tool are not exported and not listed.</t>
        </is>
      </c>
    </row>
    <row r="11">
      <c r="A11" s="2" t="inlineStr">
        <is>
          <t>S5_Quality — QA1–QA6 scores (0 / 0.5 / 1), total, and band of the 36 included studies.</t>
        </is>
      </c>
    </row>
    <row r="12">
      <c r="A12" s="2" t="inlineStr"/>
    </row>
    <row r="13">
      <c r="A13" s="1" t="inlineStr">
        <is>
          <t>Reason codes</t>
        </is>
      </c>
    </row>
    <row r="14">
      <c r="A14" s="2" t="inlineStr">
        <is>
          <t>E1a unrelated software-engineering topic · E1b functional performance/benchmark only · E1c unrelated application domain · E1d overview/position/preliminary work without debt evidence · FT-NR full text not retrievable · FT-E no focus on AI technical debt or code quality at full text · INC included. Title/abstract decisions were recorded without a reason; codes E1a–E1d were assigned afterwards from the reviewer's notes.</t>
        </is>
      </c>
    </row>
    <row r="15">
      <c r="A15" s="2" t="inlineStr"/>
    </row>
    <row r="16">
      <c r="A16" s="1" t="inlineStr">
        <is>
          <t>Formulas</t>
        </is>
      </c>
    </row>
    <row r="17">
      <c r="A17" s="2" t="inlineStr">
        <is>
          <t>S0 total included, S1 total_n, S5 total and band, and S3 qa_total/qa_band are formulas (green cells in S3 link to S5). QA band: H if total ≥ 5, M if total ≥ 3, otherwise L.</t>
        </is>
      </c>
    </row>
    <row r="18">
      <c r="A18" s="2" t="inlineStr"/>
    </row>
    <row r="19">
      <c r="A19" s="2" t="inlineStr">
        <is>
          <t>Abstracts and raw reviewer notes from the screening tool are not redistributed.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1.7" customWidth="1" min="1" max="1"/>
    <col width="11.7" customWidth="1" min="2" max="2"/>
    <col width="10" customWidth="1" min="3" max="3"/>
  </cols>
  <sheetData>
    <row r="1">
      <c r="A1" s="3" t="inlineStr">
        <is>
          <t>arm</t>
        </is>
      </c>
      <c r="B1" s="3" t="inlineStr">
        <is>
          <t>stage</t>
        </is>
      </c>
      <c r="C1" s="3" t="inlineStr">
        <is>
          <t>n</t>
        </is>
      </c>
    </row>
    <row r="2">
      <c r="A2" s="2" t="inlineStr">
        <is>
          <t>main</t>
        </is>
      </c>
      <c r="B2" s="2" t="inlineStr">
        <is>
          <t>identified</t>
        </is>
      </c>
      <c r="C2" s="2" t="n">
        <v>437</v>
      </c>
    </row>
    <row r="3">
      <c r="A3" s="2" t="inlineStr">
        <is>
          <t>main</t>
        </is>
      </c>
      <c r="B3" s="2" t="inlineStr">
        <is>
          <t>duplicates</t>
        </is>
      </c>
      <c r="C3" s="2" t="n">
        <v>296</v>
      </c>
    </row>
    <row r="4">
      <c r="A4" s="2" t="inlineStr">
        <is>
          <t>main</t>
        </is>
      </c>
      <c r="B4" s="2" t="inlineStr">
        <is>
          <t>screened</t>
        </is>
      </c>
      <c r="C4" s="2" t="n">
        <v>141</v>
      </c>
    </row>
    <row r="5">
      <c r="A5" s="2" t="inlineStr">
        <is>
          <t>main</t>
        </is>
      </c>
      <c r="B5" s="2" t="inlineStr">
        <is>
          <t>ta_excluded</t>
        </is>
      </c>
      <c r="C5" s="2" t="n">
        <v>96</v>
      </c>
    </row>
    <row r="6">
      <c r="A6" s="2" t="inlineStr">
        <is>
          <t>main</t>
        </is>
      </c>
      <c r="B6" s="2" t="inlineStr">
        <is>
          <t>ta_included</t>
        </is>
      </c>
      <c r="C6" s="2" t="n">
        <v>29</v>
      </c>
    </row>
    <row r="7">
      <c r="A7" s="2" t="inlineStr">
        <is>
          <t>main</t>
        </is>
      </c>
      <c r="B7" s="2" t="inlineStr">
        <is>
          <t>ta_maybe</t>
        </is>
      </c>
      <c r="C7" s="2" t="n">
        <v>16</v>
      </c>
    </row>
    <row r="8">
      <c r="A8" s="2" t="inlineStr">
        <is>
          <t>main</t>
        </is>
      </c>
      <c r="B8" s="2" t="inlineStr">
        <is>
          <t>sought</t>
        </is>
      </c>
      <c r="C8" s="2" t="n">
        <v>45</v>
      </c>
    </row>
    <row r="9">
      <c r="A9" s="2" t="inlineStr">
        <is>
          <t>main</t>
        </is>
      </c>
      <c r="B9" s="2" t="inlineStr">
        <is>
          <t>not_retrieved</t>
        </is>
      </c>
      <c r="C9" s="2" t="n">
        <v>4</v>
      </c>
    </row>
    <row r="10">
      <c r="A10" s="2" t="inlineStr">
        <is>
          <t>main</t>
        </is>
      </c>
      <c r="B10" s="2" t="inlineStr">
        <is>
          <t>assessed</t>
        </is>
      </c>
      <c r="C10" s="2" t="n">
        <v>41</v>
      </c>
    </row>
    <row r="11">
      <c r="A11" s="2" t="inlineStr">
        <is>
          <t>main</t>
        </is>
      </c>
      <c r="B11" s="2" t="inlineStr">
        <is>
          <t>ft_excluded</t>
        </is>
      </c>
      <c r="C11" s="2" t="n">
        <v>9</v>
      </c>
    </row>
    <row r="12">
      <c r="A12" s="2" t="inlineStr">
        <is>
          <t>main</t>
        </is>
      </c>
      <c r="B12" s="2" t="inlineStr">
        <is>
          <t>included</t>
        </is>
      </c>
      <c r="C12" s="2" t="n">
        <v>32</v>
      </c>
    </row>
    <row r="13">
      <c r="A13" s="2" t="inlineStr">
        <is>
          <t>complementary</t>
        </is>
      </c>
      <c r="B13" s="2" t="inlineStr">
        <is>
          <t>identified</t>
        </is>
      </c>
      <c r="C13" s="2" t="n">
        <v>35</v>
      </c>
    </row>
    <row r="14">
      <c r="A14" s="2" t="inlineStr">
        <is>
          <t>complementary</t>
        </is>
      </c>
      <c r="B14" s="2" t="inlineStr">
        <is>
          <t>duplicates</t>
        </is>
      </c>
      <c r="C14" s="2" t="n">
        <v>20</v>
      </c>
    </row>
    <row r="15">
      <c r="A15" s="2" t="inlineStr">
        <is>
          <t>complementary</t>
        </is>
      </c>
      <c r="B15" s="2" t="inlineStr">
        <is>
          <t>screened</t>
        </is>
      </c>
      <c r="C15" s="2" t="n">
        <v>15</v>
      </c>
    </row>
    <row r="16">
      <c r="A16" s="2" t="inlineStr">
        <is>
          <t>complementary</t>
        </is>
      </c>
      <c r="B16" s="2" t="inlineStr">
        <is>
          <t>ta_excluded</t>
        </is>
      </c>
      <c r="C16" s="2" t="n">
        <v>9</v>
      </c>
    </row>
    <row r="17">
      <c r="A17" s="2" t="inlineStr">
        <is>
          <t>complementary</t>
        </is>
      </c>
      <c r="B17" s="2" t="inlineStr">
        <is>
          <t>ta_included</t>
        </is>
      </c>
      <c r="C17" s="2" t="n">
        <v>5</v>
      </c>
    </row>
    <row r="18">
      <c r="A18" s="2" t="inlineStr">
        <is>
          <t>complementary</t>
        </is>
      </c>
      <c r="B18" s="2" t="inlineStr">
        <is>
          <t>ta_maybe</t>
        </is>
      </c>
      <c r="C18" s="2" t="n">
        <v>1</v>
      </c>
    </row>
    <row r="19">
      <c r="A19" s="2" t="inlineStr">
        <is>
          <t>complementary</t>
        </is>
      </c>
      <c r="B19" s="2" t="inlineStr">
        <is>
          <t>sought</t>
        </is>
      </c>
      <c r="C19" s="2" t="n">
        <v>6</v>
      </c>
    </row>
    <row r="20">
      <c r="A20" s="2" t="inlineStr">
        <is>
          <t>complementary</t>
        </is>
      </c>
      <c r="B20" s="2" t="inlineStr">
        <is>
          <t>not_retrieved</t>
        </is>
      </c>
      <c r="C20" s="2" t="n">
        <v>0</v>
      </c>
    </row>
    <row r="21">
      <c r="A21" s="2" t="inlineStr">
        <is>
          <t>complementary</t>
        </is>
      </c>
      <c r="B21" s="2" t="inlineStr">
        <is>
          <t>assessed</t>
        </is>
      </c>
      <c r="C21" s="2" t="n">
        <v>6</v>
      </c>
    </row>
    <row r="22">
      <c r="A22" s="2" t="inlineStr">
        <is>
          <t>complementary</t>
        </is>
      </c>
      <c r="B22" s="2" t="inlineStr">
        <is>
          <t>ft_excluded</t>
        </is>
      </c>
      <c r="C22" s="2" t="n">
        <v>2</v>
      </c>
    </row>
    <row r="23">
      <c r="A23" s="2" t="inlineStr">
        <is>
          <t>complementary</t>
        </is>
      </c>
      <c r="B23" s="2" t="inlineStr">
        <is>
          <t>included</t>
        </is>
      </c>
      <c r="C23" s="2" t="n">
        <v>4</v>
      </c>
    </row>
    <row r="24">
      <c r="A24" s="4" t="inlineStr">
        <is>
          <t>total</t>
        </is>
      </c>
      <c r="B24" s="4" t="inlineStr">
        <is>
          <t>included</t>
        </is>
      </c>
      <c r="C24" s="4">
        <f>SUMIFS(C2:C23,B2:B23,"included")</f>
        <v/>
      </c>
    </row>
  </sheetData>
  <autoFilter ref="A1:C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0" customWidth="1" min="1" max="1"/>
    <col width="11.7" customWidth="1" min="2" max="2"/>
    <col width="36" customWidth="1" min="3" max="3"/>
    <col width="42.3" customWidth="1" min="4" max="4"/>
    <col width="10" customWidth="1" min="5" max="5"/>
    <col width="19.8" customWidth="1" min="6" max="6"/>
    <col width="60" customWidth="1" min="7" max="7"/>
    <col width="10" customWidth="1" min="8" max="8"/>
    <col width="60" customWidth="1" min="9" max="9"/>
    <col width="10" customWidth="1" min="10" max="10"/>
    <col width="10" customWidth="1" min="11" max="11"/>
    <col width="10" customWidth="1" min="12" max="12"/>
  </cols>
  <sheetData>
    <row r="1">
      <c r="A1" s="3" t="inlineStr">
        <is>
          <t>id</t>
        </is>
      </c>
      <c r="B1" s="3" t="inlineStr">
        <is>
          <t>arm</t>
        </is>
      </c>
      <c r="C1" s="3" t="inlineStr">
        <is>
          <t>label</t>
        </is>
      </c>
      <c r="D1" s="3" t="inlineStr">
        <is>
          <t>topic</t>
        </is>
      </c>
      <c r="E1" s="3" t="inlineStr">
        <is>
          <t>sq</t>
        </is>
      </c>
      <c r="F1" s="3" t="inlineStr">
        <is>
          <t>type</t>
        </is>
      </c>
      <c r="G1" s="3" t="inlineStr">
        <is>
          <t>purpose</t>
        </is>
      </c>
      <c r="H1" s="3" t="inlineStr">
        <is>
          <t>executed_on</t>
        </is>
      </c>
      <c r="I1" s="3" t="inlineStr">
        <is>
          <t>query</t>
        </is>
      </c>
      <c r="J1" s="3" t="inlineStr">
        <is>
          <t>scopus_n</t>
        </is>
      </c>
      <c r="K1" s="3" t="inlineStr">
        <is>
          <t>ieee_n</t>
        </is>
      </c>
      <c r="L1" s="3" t="inlineStr">
        <is>
          <t>total_n</t>
        </is>
      </c>
    </row>
    <row r="2">
      <c r="A2" s="2" t="inlineStr">
        <is>
          <t>B1</t>
        </is>
      </c>
      <c r="B2" s="2" t="inlineStr">
        <is>
          <t>main</t>
        </is>
      </c>
      <c r="C2" s="2" t="inlineStr">
        <is>
          <t>Broad anchor (AI-TD)</t>
        </is>
      </c>
      <c r="D2" s="2" t="inlineStr">
        <is>
          <t>T1 AI-TD characterization</t>
        </is>
      </c>
      <c r="E2" s="2" t="inlineStr">
        <is>
          <t>SQ1</t>
        </is>
      </c>
      <c r="F2" s="2" t="inlineStr">
        <is>
          <t>Broad</t>
        </is>
      </c>
      <c r="G2" s="2" t="inlineStr">
        <is>
          <t>Identify studies that characterize quality problems in AI-generated code.</t>
        </is>
      </c>
      <c r="H2" s="2" t="inlineStr">
        <is>
          <t>2026-06-04</t>
        </is>
      </c>
      <c r="I2"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t>
        </is>
      </c>
      <c r="J2" s="2" t="n">
        <v>116</v>
      </c>
      <c r="K2" s="2" t="n">
        <v>35</v>
      </c>
      <c r="L2" s="2">
        <f>SUM(J2:K2)</f>
        <v/>
      </c>
    </row>
    <row r="3">
      <c r="A3" s="2" t="inlineStr">
        <is>
          <t>B2</t>
        </is>
      </c>
      <c r="B3" s="2" t="inlineStr">
        <is>
          <t>main</t>
        </is>
      </c>
      <c r="C3" s="2" t="inlineStr">
        <is>
          <t>Taxonomy / classification</t>
        </is>
      </c>
      <c r="D3" s="2" t="inlineStr">
        <is>
          <t>T1 AI-TD characterization</t>
        </is>
      </c>
      <c r="E3" s="2" t="inlineStr">
        <is>
          <t>SQ1</t>
        </is>
      </c>
      <c r="F3" s="2" t="inlineStr">
        <is>
          <t>Specific</t>
        </is>
      </c>
      <c r="G3" s="2" t="inlineStr">
        <is>
          <t>Find classifications and taxonomies of technical debt specific to AI/LLM systems.</t>
        </is>
      </c>
      <c r="H3" s="2" t="inlineStr">
        <is>
          <t>2026-06-04</t>
        </is>
      </c>
      <c r="I3"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("classification" OR "taxonomy" OR "identification" OR "detection")</t>
        </is>
      </c>
      <c r="J3" s="2" t="n">
        <v>36</v>
      </c>
      <c r="K3" s="2" t="n">
        <v>14</v>
      </c>
      <c r="L3" s="2">
        <f>SUM(J3:K3)</f>
        <v/>
      </c>
    </row>
    <row r="4">
      <c r="A4" s="2" t="inlineStr">
        <is>
          <t>B3</t>
        </is>
      </c>
      <c r="B4" s="2" t="inlineStr">
        <is>
          <t>main</t>
        </is>
      </c>
      <c r="C4" s="2" t="inlineStr">
        <is>
          <t>Spec-driven / SDD</t>
        </is>
      </c>
      <c r="D4" s="2" t="inlineStr">
        <is>
          <t>T2 Spec-driven development</t>
        </is>
      </c>
      <c r="E4" s="2" t="inlineStr">
        <is>
          <t>SQ2</t>
        </is>
      </c>
      <c r="F4" s="2" t="inlineStr">
        <is>
          <t>By solution</t>
        </is>
      </c>
      <c r="G4" s="2" t="inlineStr">
        <is>
          <t>Find intervention proposals based on specification prior to code generation.</t>
        </is>
      </c>
      <c r="H4" s="2" t="inlineStr">
        <is>
          <t>2026-06-04</t>
        </is>
      </c>
      <c r="I4"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("spec-driven" OR "spec-driven development" OR "SDD" OR "SDD protocol" OR "specification-first" OR "structured requirements" OR "requirements-driven" OR "requirements-driven development" OR "spec-first" OR "spec-first coding" OR "harness engineering")</t>
        </is>
      </c>
      <c r="J4" s="2" t="n"/>
      <c r="K4" s="2" t="n">
        <v>2</v>
      </c>
      <c r="L4" s="2">
        <f>SUM(J4:K4)</f>
        <v/>
      </c>
    </row>
    <row r="5">
      <c r="A5" s="2" t="inlineStr">
        <is>
          <t>B4</t>
        </is>
      </c>
      <c r="B5" s="2" t="inlineStr">
        <is>
          <t>main</t>
        </is>
      </c>
      <c r="C5" s="2" t="inlineStr">
        <is>
          <t>Specification → quality</t>
        </is>
      </c>
      <c r="D5" s="2" t="inlineStr">
        <is>
          <t>T2 Spec-driven development</t>
        </is>
      </c>
      <c r="E5" s="2" t="inlineStr">
        <is>
          <t>SQ2</t>
        </is>
      </c>
      <c r="F5" s="2" t="inlineStr">
        <is>
          <t>By solution + outcome</t>
        </is>
      </c>
      <c r="G5" s="2" t="inlineStr">
        <is>
          <t>Identify evidence of the effect of the specification on the quality of generated code.</t>
        </is>
      </c>
      <c r="H5" s="2" t="inlineStr">
        <is>
          <t>2026-06-04</t>
        </is>
      </c>
      <c r="I5"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("specification" OR "structured specification" OR "specification document" OR "specification template" OR "pre-specification" OR "structured requirements" OR "structured prompting" OR "requirements quality" OR "requirements document" OR "requirements document LLM")</t>
        </is>
      </c>
      <c r="J5" s="2" t="n">
        <v>8</v>
      </c>
      <c r="K5" s="2" t="n">
        <v>4</v>
      </c>
      <c r="L5" s="2">
        <f>SUM(J5:K5)</f>
        <v/>
      </c>
    </row>
    <row r="6">
      <c r="A6" s="2" t="inlineStr">
        <is>
          <t>B5</t>
        </is>
      </c>
      <c r="B6" s="2" t="inlineStr">
        <is>
          <t>main</t>
        </is>
      </c>
      <c r="C6" s="2" t="inlineStr">
        <is>
          <t>Mitigation strategies</t>
        </is>
      </c>
      <c r="D6" s="2" t="inlineStr">
        <is>
          <t>T3 Mitigation strategies</t>
        </is>
      </c>
      <c r="E6" s="2" t="inlineStr">
        <is>
          <t>SQ3</t>
        </is>
      </c>
      <c r="F6" s="2" t="inlineStr">
        <is>
          <t>Comparative</t>
        </is>
      </c>
      <c r="G6" s="2" t="inlineStr">
        <is>
          <t>Find studies that compare quality-improvement strategies for LLM code.</t>
        </is>
      </c>
      <c r="H6" s="2" t="inlineStr">
        <is>
          <t>2026-06-04</t>
        </is>
      </c>
      <c r="I6"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("prompt engineering" OR "code review" OR "static analysis" OR "refactoring" OR "code inspection" OR "automated testing" OR "quality assurance" OR "code quality improvement" OR "mitigation strategy" OR "prompt optimization" OR "chain-of-thought prompting" OR "zero-shot" OR "few-shot" OR "in-context learning" OR "LLM prompting strategies")</t>
        </is>
      </c>
      <c r="J6" s="2" t="n">
        <v>47</v>
      </c>
      <c r="K6" s="2" t="n">
        <v>26</v>
      </c>
      <c r="L6" s="2">
        <f>SUM(J6:K6)</f>
        <v/>
      </c>
    </row>
    <row r="7">
      <c r="A7" s="2" t="inlineStr">
        <is>
          <t>B6</t>
        </is>
      </c>
      <c r="B7" s="2" t="inlineStr">
        <is>
          <t>main</t>
        </is>
      </c>
      <c r="C7" s="2" t="inlineStr">
        <is>
          <t>Experimental effectiveness</t>
        </is>
      </c>
      <c r="D7" s="2" t="inlineStr">
        <is>
          <t>T3 Mitigation strategies</t>
        </is>
      </c>
      <c r="E7" s="2" t="inlineStr">
        <is>
          <t>SQ3</t>
        </is>
      </c>
      <c r="F7" s="2" t="inlineStr">
        <is>
          <t>Comparative by outcome</t>
        </is>
      </c>
      <c r="G7" s="2" t="inlineStr">
        <is>
          <t>Identify experimental evidence on the effectiveness of interventions on LLM code quality.</t>
        </is>
      </c>
      <c r="H7" s="2" t="inlineStr">
        <is>
          <t>2026-06-04</t>
        </is>
      </c>
      <c r="I7"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("experiment" OR "empirical study" OR "controlled study" OR "evaluation")</t>
        </is>
      </c>
      <c r="J7" s="2" t="n">
        <v>78</v>
      </c>
      <c r="K7" s="2" t="n">
        <v>15</v>
      </c>
      <c r="L7" s="2">
        <f>SUM(J7:K7)</f>
        <v/>
      </c>
    </row>
    <row r="8">
      <c r="A8" s="2" t="inlineStr">
        <is>
          <t>B7</t>
        </is>
      </c>
      <c r="B8" s="2" t="inlineStr">
        <is>
          <t>main</t>
        </is>
      </c>
      <c r="C8" s="2" t="inlineStr">
        <is>
          <t>TD measurement instruments</t>
        </is>
      </c>
      <c r="D8" s="2" t="inlineStr">
        <is>
          <t>T4 TD metrics</t>
        </is>
      </c>
      <c r="E8" s="2" t="inlineStr">
        <is>
          <t>SQ4</t>
        </is>
      </c>
      <c r="F8" s="2" t="inlineStr">
        <is>
          <t>By outcome</t>
        </is>
      </c>
      <c r="G8" s="2" t="inlineStr">
        <is>
          <t>Identify studies that use TD measurement instruments in AI-assisted coding.</t>
        </is>
      </c>
      <c r="H8" s="2" t="inlineStr">
        <is>
          <t>2026-06-04</t>
        </is>
      </c>
      <c r="I8"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("SonarQube" OR "coupling" OR "coupling metrics" OR "coupling analysis" OR "cohesion metrics" OR "afferent coupling" OR "efferent coupling" OR "instability index" OR "debt ratio" OR "SQALE" OR "SATD measurement" OR "technical debt measurement" OR "Sculley checklist")</t>
        </is>
      </c>
      <c r="J8" s="2" t="n">
        <v>3</v>
      </c>
      <c r="K8" s="2" t="n">
        <v>1</v>
      </c>
      <c r="L8" s="2">
        <f>SUM(J8:K8)</f>
        <v/>
      </c>
    </row>
    <row r="9">
      <c r="A9" s="2" t="inlineStr">
        <is>
          <t>B8</t>
        </is>
      </c>
      <c r="B9" s="2" t="inlineStr">
        <is>
          <t>main</t>
        </is>
      </c>
      <c r="C9" s="2" t="inlineStr">
        <is>
          <t>IS success + TD</t>
        </is>
      </c>
      <c r="D9" s="2" t="inlineStr">
        <is>
          <t>T4 IS success</t>
        </is>
      </c>
      <c r="E9" s="2" t="inlineStr">
        <is>
          <t>SQ4</t>
        </is>
      </c>
      <c r="F9" s="2" t="inlineStr">
        <is>
          <t>Comparative</t>
        </is>
      </c>
      <c r="G9" s="2" t="inlineStr">
        <is>
          <t>Find studies that connect technical software quality with IS success.</t>
        </is>
      </c>
      <c r="H9" s="2" t="inlineStr">
        <is>
          <t>2026-06-04</t>
        </is>
      </c>
      <c r="I9"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("information systems success" OR "DeLone McLean" OR "IS success" OR "DeLone McLean IS success" OR "system quality" OR "information quality" OR "net benefits" OR "IS success model" OR "PLS-SEM IS evaluation" OR "information systems measurement")</t>
        </is>
      </c>
      <c r="J9" s="2" t="n">
        <v>1</v>
      </c>
      <c r="K9" s="2" t="n">
        <v>24</v>
      </c>
      <c r="L9" s="2">
        <f>SUM(J9:K9)</f>
        <v/>
      </c>
    </row>
    <row r="10">
      <c r="A10" s="2" t="inlineStr">
        <is>
          <t>B9</t>
        </is>
      </c>
      <c r="B10" s="2" t="inlineStr">
        <is>
          <t>main</t>
        </is>
      </c>
      <c r="C10" s="2" t="inlineStr">
        <is>
          <t>HEI context</t>
        </is>
      </c>
      <c r="D10" s="2" t="inlineStr">
        <is>
          <t>T5 HEI context</t>
        </is>
      </c>
      <c r="E10" s="2" t="inlineStr">
        <is>
          <t>SQ5</t>
        </is>
      </c>
      <c r="F10" s="2" t="inlineStr">
        <is>
          <t>Broad</t>
        </is>
      </c>
      <c r="G10" s="2" t="inlineStr">
        <is>
          <t>Map the presence of the AI-TD problem in the specific context of HEIs.</t>
        </is>
      </c>
      <c r="H10" s="2" t="inlineStr">
        <is>
          <t>2026-06-04</t>
        </is>
      </c>
      <c r="I10"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("higher education" OR "higher education institution" OR "HEI" OR "university" OR "academic institution") AND ("software development" OR "information systems" OR "university information systems" OR "legacy systems" OR "digital transformation" OR "academic software modernization" OR "software modernization HEI")</t>
        </is>
      </c>
      <c r="J10" s="2" t="n">
        <v>2</v>
      </c>
      <c r="K10" s="2" t="n">
        <v>23</v>
      </c>
      <c r="L10" s="2">
        <f>SUM(J10:K10)</f>
        <v/>
      </c>
    </row>
    <row r="11">
      <c r="A11" s="2" t="inlineStr">
        <is>
          <t>B10</t>
        </is>
      </c>
      <c r="B11" s="2" t="inlineStr">
        <is>
          <t>main</t>
        </is>
      </c>
      <c r="C11" s="2" t="inlineStr">
        <is>
          <t>Latin America / gaps</t>
        </is>
      </c>
      <c r="D11" s="2" t="inlineStr">
        <is>
          <t>T5 Latin America / gaps</t>
        </is>
      </c>
      <c r="E11" s="2" t="inlineStr">
        <is>
          <t>SQ5</t>
        </is>
      </c>
      <c r="F11" s="2" t="inlineStr">
        <is>
          <t>Gap-oriented</t>
        </is>
      </c>
      <c r="G11" s="2" t="inlineStr">
        <is>
          <t>Identify the empirical gap in Latin American contexts.</t>
        </is>
      </c>
      <c r="H11" s="2" t="inlineStr">
        <is>
          <t>2026-06-04</t>
        </is>
      </c>
      <c r="I11"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("higher education" OR "higher education institution" OR "HEI" OR "university" OR "academic institution") AND ("Latin America" OR "developing countr*" OR "Ecuador" OR "research gap*")</t>
        </is>
      </c>
      <c r="J11" s="2" t="n">
        <v>1</v>
      </c>
      <c r="K11" s="2" t="n">
        <v>1</v>
      </c>
      <c r="L11" s="2">
        <f>SUM(J11:K11)</f>
        <v/>
      </c>
    </row>
    <row r="12">
      <c r="A12" s="2" t="inlineStr">
        <is>
          <t>B11</t>
        </is>
      </c>
      <c r="B12" s="2" t="inlineStr">
        <is>
          <t>complementary</t>
        </is>
      </c>
      <c r="C12" s="2" t="inlineStr">
        <is>
          <t>Design-by-contract / formal requirements</t>
        </is>
      </c>
      <c r="D12" s="2" t="inlineStr">
        <is>
          <t>Formal requirements / design-by-contract / MDD</t>
        </is>
      </c>
      <c r="E12" s="2" t="inlineStr">
        <is>
          <t>SQ2</t>
        </is>
      </c>
      <c r="F12" s="2" t="inlineStr">
        <is>
          <t>Directed complementary</t>
        </is>
      </c>
      <c r="G12" s="2" t="inlineStr">
        <is>
          <t>Retrieve formal or structured specification disciplines applied before generation (including EARS notation).</t>
        </is>
      </c>
      <c r="H12" s="2" t="inlineStr">
        <is>
          <t>2026-08-13</t>
        </is>
      </c>
      <c r="I12"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OR "code generation") AND ("design by contract" OR "formal specification" OR "model-driven development" OR "requirements engineering" OR "EARS" OR "Easy Approach to Requirements Syntax")</t>
        </is>
      </c>
      <c r="J12" s="2" t="n">
        <v>16</v>
      </c>
      <c r="K12" s="2" t="n">
        <v>4</v>
      </c>
      <c r="L12" s="2">
        <f>SUM(J12:K12)</f>
        <v/>
      </c>
    </row>
    <row r="13">
      <c r="A13" s="2" t="inlineStr">
        <is>
          <t>B12</t>
        </is>
      </c>
      <c r="B13" s="2" t="inlineStr">
        <is>
          <t>complementary</t>
        </is>
      </c>
      <c r="C13" s="2" t="inlineStr">
        <is>
          <t>Contract- and test-first disciplines</t>
        </is>
      </c>
      <c r="D13" s="2" t="inlineStr">
        <is>
          <t>Test/contract-first disciplines</t>
        </is>
      </c>
      <c r="E13" s="2" t="inlineStr">
        <is>
          <t>SQ2</t>
        </is>
      </c>
      <c r="F13" s="2" t="inlineStr">
        <is>
          <t>Directed complementary</t>
        </is>
      </c>
      <c r="G13" s="2" t="inlineStr">
        <is>
          <t>Retrieve test- and contract-first disciplines applied before generation as a preventive mechanism.</t>
        </is>
      </c>
      <c r="H13" s="2" t="inlineStr">
        <is>
          <t>2026-08-13</t>
        </is>
      </c>
      <c r="I13"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OR "specification") AND ("test-driven development" OR "TDD" OR "behavior-driven" OR "BDD" OR "property-based testing" OR "API-first" OR "contract-first" OR "test-first" OR "specification by example" OR "executable specification" OR "acceptance test" OR "consumer-driven contract")</t>
        </is>
      </c>
      <c r="J13" s="2" t="n">
        <v>6</v>
      </c>
      <c r="K13" s="2" t="n">
        <v>2</v>
      </c>
      <c r="L13" s="2">
        <f>SUM(J13:K13)</f>
        <v/>
      </c>
    </row>
    <row r="14">
      <c r="A14" s="2" t="inlineStr">
        <is>
          <t>B13</t>
        </is>
      </c>
      <c r="B14" s="2" t="inlineStr">
        <is>
          <t>complementary</t>
        </is>
      </c>
      <c r="C14" s="2" t="inlineStr">
        <is>
          <t>Structured-input governance</t>
        </is>
      </c>
      <c r="D14" s="2" t="inlineStr">
        <is>
          <t>Input structuring / guardrails / policy-as-code</t>
        </is>
      </c>
      <c r="E14" s="2" t="inlineStr">
        <is>
          <t>SQ2</t>
        </is>
      </c>
      <c r="F14" s="2" t="inlineStr">
        <is>
          <t>Directed complementary</t>
        </is>
      </c>
      <c r="G14" s="2" t="inlineStr">
        <is>
          <t>Retrieve input-structuring and preventive governance approaches (guardrails, policy-as-code).</t>
        </is>
      </c>
      <c r="H14" s="2" t="inlineStr">
        <is>
          <t>2026-08-13</t>
        </is>
      </c>
      <c r="I14" s="2" t="inlineStr">
        <is>
          <t>("LLM" OR "large language model" OR "LLM code generation" OR "AI code generation" OR "generative AI" OR "AI-generated code" OR "AI-assisted development" OR "GenAI software") AND ("technical debt" OR "AI technical debt" OR "SATD" OR "self-admitted technical debt" OR "AI-induced technical debt" OR "code quality" OR "code smells" OR "software quality" OR "code debt") AND ("task decomposition" OR "scaffolding" OR "guardrails" OR "policy-as-code" OR "structured prompt" OR "spec-driven development" OR "prompt orchestration")</t>
        </is>
      </c>
      <c r="J14" s="2" t="n">
        <v>7</v>
      </c>
      <c r="K14" s="2" t="n">
        <v>0</v>
      </c>
      <c r="L14" s="2">
        <f>SUM(J14:K14)</f>
        <v/>
      </c>
    </row>
  </sheetData>
  <autoFilter ref="A1:L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0" customWidth="1" min="1" max="1"/>
    <col width="34.2" customWidth="1" min="2" max="2"/>
    <col width="11.7" customWidth="1" min="3" max="3"/>
    <col width="10" customWidth="1" min="4" max="4"/>
    <col width="60" customWidth="1" min="5" max="5"/>
  </cols>
  <sheetData>
    <row r="1">
      <c r="A1" s="3" t="inlineStr">
        <is>
          <t>code</t>
        </is>
      </c>
      <c r="B1" s="3" t="inlineStr">
        <is>
          <t>type</t>
        </is>
      </c>
      <c r="C1" s="3" t="inlineStr">
        <is>
          <t>linked_string</t>
        </is>
      </c>
      <c r="D1" s="3" t="inlineStr">
        <is>
          <t>linked_sq</t>
        </is>
      </c>
      <c r="E1" s="3" t="inlineStr">
        <is>
          <t>criterion</t>
        </is>
      </c>
    </row>
    <row r="2">
      <c r="A2" s="2" t="inlineStr">
        <is>
          <t>I1</t>
        </is>
      </c>
      <c r="B2" s="2" t="inlineStr">
        <is>
          <t>Thematic inclusion</t>
        </is>
      </c>
      <c r="C2" s="2" t="inlineStr">
        <is>
          <t>B1</t>
        </is>
      </c>
      <c r="D2" s="2" t="inlineStr">
        <is>
          <t>SQ1</t>
        </is>
      </c>
      <c r="E2" s="2" t="inlineStr">
        <is>
          <t>Identify studies that characterize quality problems in AI-generated code.</t>
        </is>
      </c>
    </row>
    <row r="3">
      <c r="A3" s="2" t="inlineStr">
        <is>
          <t>I2</t>
        </is>
      </c>
      <c r="B3" s="2" t="inlineStr">
        <is>
          <t>Thematic inclusion</t>
        </is>
      </c>
      <c r="C3" s="2" t="inlineStr">
        <is>
          <t>B2</t>
        </is>
      </c>
      <c r="D3" s="2" t="inlineStr">
        <is>
          <t>SQ1</t>
        </is>
      </c>
      <c r="E3" s="2" t="inlineStr">
        <is>
          <t>Find classifications and taxonomies of specific technical debt for AI/LLM systems.</t>
        </is>
      </c>
    </row>
    <row r="4">
      <c r="A4" s="2" t="inlineStr">
        <is>
          <t>I3</t>
        </is>
      </c>
      <c r="B4" s="2" t="inlineStr">
        <is>
          <t>Thematic inclusion</t>
        </is>
      </c>
      <c r="C4" s="2" t="inlineStr">
        <is>
          <t>B3</t>
        </is>
      </c>
      <c r="D4" s="2" t="inlineStr">
        <is>
          <t>SQ2</t>
        </is>
      </c>
      <c r="E4" s="2" t="inlineStr">
        <is>
          <t>Find intervention proposals based on specification prior to code generation.</t>
        </is>
      </c>
    </row>
    <row r="5">
      <c r="A5" s="2" t="inlineStr">
        <is>
          <t>I4</t>
        </is>
      </c>
      <c r="B5" s="2" t="inlineStr">
        <is>
          <t>Thematic inclusion</t>
        </is>
      </c>
      <c r="C5" s="2" t="inlineStr">
        <is>
          <t>B4</t>
        </is>
      </c>
      <c r="D5" s="2" t="inlineStr">
        <is>
          <t>SQ2</t>
        </is>
      </c>
      <c r="E5" s="2" t="inlineStr">
        <is>
          <t>Identify evidence of the effect of the specification on the quality of the generated code.</t>
        </is>
      </c>
    </row>
    <row r="6">
      <c r="A6" s="2" t="inlineStr">
        <is>
          <t>I5</t>
        </is>
      </c>
      <c r="B6" s="2" t="inlineStr">
        <is>
          <t>Thematic inclusion</t>
        </is>
      </c>
      <c r="C6" s="2" t="inlineStr">
        <is>
          <t>B5</t>
        </is>
      </c>
      <c r="D6" s="2" t="inlineStr">
        <is>
          <t>SQ3</t>
        </is>
      </c>
      <c r="E6" s="2" t="inlineStr">
        <is>
          <t>Find studies that compare quality improvement strategies in LLM code.</t>
        </is>
      </c>
    </row>
    <row r="7">
      <c r="A7" s="2" t="inlineStr">
        <is>
          <t>I6</t>
        </is>
      </c>
      <c r="B7" s="2" t="inlineStr">
        <is>
          <t>Thematic inclusion</t>
        </is>
      </c>
      <c r="C7" s="2" t="inlineStr">
        <is>
          <t>B6</t>
        </is>
      </c>
      <c r="D7" s="2" t="inlineStr">
        <is>
          <t>SQ3</t>
        </is>
      </c>
      <c r="E7" s="2" t="inlineStr">
        <is>
          <t>Identify experimental evidence on the effectiveness of interventions in LLM code quality.</t>
        </is>
      </c>
    </row>
    <row r="8">
      <c r="A8" s="2" t="inlineStr">
        <is>
          <t>I7</t>
        </is>
      </c>
      <c r="B8" s="2" t="inlineStr">
        <is>
          <t>Thematic inclusion</t>
        </is>
      </c>
      <c r="C8" s="2" t="inlineStr">
        <is>
          <t>B7</t>
        </is>
      </c>
      <c r="D8" s="2" t="inlineStr">
        <is>
          <t>SQ4</t>
        </is>
      </c>
      <c r="E8" s="2" t="inlineStr">
        <is>
          <t>Identify studies that use TD measurement instruments in AI-assisted coding.</t>
        </is>
      </c>
    </row>
    <row r="9">
      <c r="A9" s="2" t="inlineStr">
        <is>
          <t>I8</t>
        </is>
      </c>
      <c r="B9" s="2" t="inlineStr">
        <is>
          <t>Thematic inclusion</t>
        </is>
      </c>
      <c r="C9" s="2" t="inlineStr">
        <is>
          <t>B8</t>
        </is>
      </c>
      <c r="D9" s="2" t="inlineStr">
        <is>
          <t>SQ4</t>
        </is>
      </c>
      <c r="E9" s="2" t="inlineStr">
        <is>
          <t>Find studies that connect technical software quality with IS success.</t>
        </is>
      </c>
    </row>
    <row r="10">
      <c r="A10" s="2" t="inlineStr">
        <is>
          <t>I9</t>
        </is>
      </c>
      <c r="B10" s="2" t="inlineStr">
        <is>
          <t>Thematic inclusion</t>
        </is>
      </c>
      <c r="C10" s="2" t="inlineStr">
        <is>
          <t>B9</t>
        </is>
      </c>
      <c r="D10" s="2" t="inlineStr">
        <is>
          <t>SQ5</t>
        </is>
      </c>
      <c r="E10" s="2" t="inlineStr">
        <is>
          <t>Map the presence of the AI-TD problem in the specific context of HEIs.</t>
        </is>
      </c>
    </row>
    <row r="11">
      <c r="A11" s="2" t="inlineStr">
        <is>
          <t>I10</t>
        </is>
      </c>
      <c r="B11" s="2" t="inlineStr">
        <is>
          <t>Thematic inclusion</t>
        </is>
      </c>
      <c r="C11" s="2" t="inlineStr">
        <is>
          <t>B10</t>
        </is>
      </c>
      <c r="D11" s="2" t="inlineStr">
        <is>
          <t>SQ5</t>
        </is>
      </c>
      <c r="E11" s="2" t="inlineStr">
        <is>
          <t>Identify the empirical gap in Latin American contexts.</t>
        </is>
      </c>
    </row>
    <row r="12">
      <c r="A12" s="2" t="inlineStr">
        <is>
          <t>I11</t>
        </is>
      </c>
      <c r="B12" s="2" t="inlineStr">
        <is>
          <t>Formal inclusion</t>
        </is>
      </c>
      <c r="C12" s="2" t="inlineStr"/>
      <c r="D12" s="2" t="inlineStr"/>
      <c r="E12" s="2" t="inlineStr">
        <is>
          <t>Publication year 2022-2026.</t>
        </is>
      </c>
    </row>
    <row r="13">
      <c r="A13" s="2" t="inlineStr">
        <is>
          <t>I12</t>
        </is>
      </c>
      <c r="B13" s="2" t="inlineStr">
        <is>
          <t>Formal inclusion</t>
        </is>
      </c>
      <c r="C13" s="2" t="inlineStr"/>
      <c r="D13" s="2" t="inlineStr"/>
      <c r="E13" s="2" t="inlineStr">
        <is>
          <t>Document type: Article, Early Access article, or Journal.</t>
        </is>
      </c>
    </row>
    <row r="14">
      <c r="A14" s="2" t="inlineStr">
        <is>
          <t>I13</t>
        </is>
      </c>
      <c r="B14" s="2" t="inlineStr">
        <is>
          <t>Formal inclusion</t>
        </is>
      </c>
      <c r="C14" s="2" t="inlineStr"/>
      <c r="D14" s="2" t="inlineStr"/>
      <c r="E14" s="2" t="inlineStr">
        <is>
          <t>Language: English.</t>
        </is>
      </c>
    </row>
    <row r="15">
      <c r="A15" s="2" t="inlineStr">
        <is>
          <t>I14</t>
        </is>
      </c>
      <c r="B15" s="2" t="inlineStr">
        <is>
          <t>Formal inclusion</t>
        </is>
      </c>
      <c r="C15" s="2" t="inlineStr"/>
      <c r="D15" s="2" t="inlineStr"/>
      <c r="E15" s="2" t="inlineStr">
        <is>
          <t>Full text available (open access or subscribed content).</t>
        </is>
      </c>
    </row>
    <row r="16">
      <c r="A16" s="2" t="inlineStr">
        <is>
          <t>E1</t>
        </is>
      </c>
      <c r="B16" s="2" t="inlineStr">
        <is>
          <t>Exclusion</t>
        </is>
      </c>
      <c r="C16" s="2" t="inlineStr"/>
      <c r="D16" s="2" t="inlineStr"/>
      <c r="E16" s="2" t="inlineStr">
        <is>
          <t>Failure to meet the inclusion criteria; in particular, not related to any of the five topics associated with the review subquestions (SQ1-SQ5).</t>
        </is>
      </c>
    </row>
    <row r="17">
      <c r="A17" s="2" t="inlineStr">
        <is>
          <t>E1a</t>
        </is>
      </c>
      <c r="B17" s="2" t="inlineStr">
        <is>
          <t>Exclusion reason code (title/abstract)</t>
        </is>
      </c>
      <c r="C17" s="2" t="inlineStr"/>
      <c r="D17" s="2" t="inlineStr"/>
      <c r="E17" s="2" t="inlineStr">
        <is>
          <t>Unrelated software-engineering topic: none of the five review topics is addressed (e.g., test automation, requirements engineering that produces no code, NLP over software artifacts).</t>
        </is>
      </c>
    </row>
    <row r="18">
      <c r="A18" s="2" t="inlineStr">
        <is>
          <t>E1b</t>
        </is>
      </c>
      <c r="B18" s="2" t="inlineStr">
        <is>
          <t>Exclusion reason code (title/abstract)</t>
        </is>
      </c>
      <c r="C18" s="2" t="inlineStr"/>
      <c r="D18" s="2" t="inlineStr"/>
      <c r="E18" s="2" t="inlineStr">
        <is>
          <t>Functional performance or benchmark only (e.g., pass@k, accuracy, runtime) without addressing technical debt, specification, or IS success.</t>
        </is>
      </c>
    </row>
    <row r="19">
      <c r="A19" s="2" t="inlineStr">
        <is>
          <t>E1c</t>
        </is>
      </c>
      <c r="B19" s="2" t="inlineStr">
        <is>
          <t>Exclusion reason code (title/abstract)</t>
        </is>
      </c>
      <c r="C19" s="2" t="inlineStr"/>
      <c r="D19" s="2" t="inlineStr"/>
      <c r="E19" s="2" t="inlineStr">
        <is>
          <t>Unrelated application domain without transferability to institutional IS (e.g., hardware/HDL, blockchain, IoT, robotics, infrastructure-as-code, safety-critical, security not tied to maintainability).</t>
        </is>
      </c>
    </row>
    <row r="20">
      <c r="A20" s="2" t="inlineStr">
        <is>
          <t>E1d</t>
        </is>
      </c>
      <c r="B20" s="2" t="inlineStr">
        <is>
          <t>Exclusion reason code (title/abstract)</t>
        </is>
      </c>
      <c r="C20" s="2" t="inlineStr"/>
      <c r="D20" s="2" t="inlineStr"/>
      <c r="E20" s="2" t="inlineStr">
        <is>
          <t>Overview, position, roadmap, or preliminary work without technical-debt or code-quality evidence.</t>
        </is>
      </c>
    </row>
    <row r="21">
      <c r="A21" s="2" t="inlineStr">
        <is>
          <t>FT-NR</t>
        </is>
      </c>
      <c r="B21" s="2" t="inlineStr">
        <is>
          <t>Exclusion reason code (full text)</t>
        </is>
      </c>
      <c r="C21" s="2" t="inlineStr"/>
      <c r="D21" s="2" t="inlineStr"/>
      <c r="E21" s="2" t="inlineStr">
        <is>
          <t>Full text not retrievable (reports not retrieved).</t>
        </is>
      </c>
    </row>
    <row r="22">
      <c r="A22" s="2" t="inlineStr">
        <is>
          <t>FT-E</t>
        </is>
      </c>
      <c r="B22" s="2" t="inlineStr">
        <is>
          <t>Exclusion reason code (full text)</t>
        </is>
      </c>
      <c r="C22" s="2" t="inlineStr"/>
      <c r="D22" s="2" t="inlineStr"/>
      <c r="E22" s="2" t="inlineStr">
        <is>
          <t>No focus on AI technical debt or code quality on full-text reading.</t>
        </is>
      </c>
    </row>
    <row r="23">
      <c r="A23" s="2" t="inlineStr">
        <is>
          <t>INC</t>
        </is>
      </c>
      <c r="B23" s="2" t="inlineStr">
        <is>
          <t>Decision code</t>
        </is>
      </c>
      <c r="C23" s="2" t="inlineStr"/>
      <c r="D23" s="2" t="inlineStr"/>
      <c r="E23" s="2" t="inlineStr">
        <is>
          <t>Included in the synthesis.</t>
        </is>
      </c>
    </row>
    <row r="24">
      <c r="A24" s="2" t="inlineStr">
        <is>
          <t>QA</t>
        </is>
      </c>
      <c r="B24" s="2" t="inlineStr">
        <is>
          <t>Quality appraisal (not gating)</t>
        </is>
      </c>
      <c r="C24" s="2" t="inlineStr"/>
      <c r="D24" s="2" t="inlineStr"/>
      <c r="E24" s="2" t="inlineStr">
        <is>
          <t>Eligibility is decided solely by the criteria above. Each included study is scored with a six-criterion rubric (QA1-QA6; 0/0.5/1). Journal quartile or venue prestige is not used as a proxy for quality.</t>
        </is>
      </c>
    </row>
  </sheetData>
  <autoFilter ref="A1:E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7"/>
  <sheetViews>
    <sheetView workbookViewId="0">
      <pane ySplit="1" topLeftCell="A2" activePane="bottomLeft" state="frozen"/>
      <selection pane="bottomLeft" activeCell="A1" sqref="A1"/>
    </sheetView>
  </sheetViews>
  <sheetFormatPr baseColWidth="8" defaultRowHeight="15"/>
  <cols>
    <col width="10" customWidth="1" min="1" max="1"/>
    <col width="25.2" customWidth="1" min="2" max="2"/>
    <col width="11.7" customWidth="1" min="3" max="3"/>
    <col width="20.7" customWidth="1" min="4" max="4"/>
    <col width="10" customWidth="1" min="5" max="5"/>
    <col width="60" customWidth="1" min="6" max="6"/>
    <col width="42.3" customWidth="1" min="7" max="7"/>
    <col width="50.4" customWidth="1" min="8" max="8"/>
    <col width="27" customWidth="1" min="9" max="9"/>
    <col width="13.5" customWidth="1" min="10" max="10"/>
    <col width="11.7"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11.7" customWidth="1" min="25" max="25"/>
    <col width="28.8" customWidth="1" min="26" max="26"/>
    <col width="60" customWidth="1" min="27" max="27"/>
    <col width="10" customWidth="1" min="28" max="28"/>
    <col width="10" customWidth="1" min="29" max="29"/>
  </cols>
  <sheetData>
    <row r="1">
      <c r="A1" s="3" t="inlineStr">
        <is>
          <t>id</t>
        </is>
      </c>
      <c r="B1" s="3" t="inlineStr">
        <is>
          <t>bibtex_key</t>
        </is>
      </c>
      <c r="C1" s="3" t="inlineStr">
        <is>
          <t>arm</t>
        </is>
      </c>
      <c r="D1" s="3" t="inlineStr">
        <is>
          <t>first_author</t>
        </is>
      </c>
      <c r="E1" s="3" t="inlineStr">
        <is>
          <t>year</t>
        </is>
      </c>
      <c r="F1" s="3" t="inlineStr">
        <is>
          <t>title</t>
        </is>
      </c>
      <c r="G1" s="3" t="inlineStr">
        <is>
          <t>document_type</t>
        </is>
      </c>
      <c r="H1" s="3" t="inlineStr">
        <is>
          <t>venue</t>
        </is>
      </c>
      <c r="I1" s="3" t="inlineStr">
        <is>
          <t>doi</t>
        </is>
      </c>
      <c r="J1" s="3" t="inlineStr">
        <is>
          <t>source_database</t>
        </is>
      </c>
      <c r="K1" s="3" t="inlineStr">
        <is>
          <t>search_string</t>
        </is>
      </c>
      <c r="L1" s="3" t="inlineStr">
        <is>
          <t>objective</t>
        </is>
      </c>
      <c r="M1" s="3" t="inlineStr">
        <is>
          <t>problem</t>
        </is>
      </c>
      <c r="N1" s="3" t="inlineStr">
        <is>
          <t>context</t>
        </is>
      </c>
      <c r="O1" s="3" t="inlineStr">
        <is>
          <t>intervention_method</t>
        </is>
      </c>
      <c r="P1" s="3" t="inlineStr">
        <is>
          <t>comparison</t>
        </is>
      </c>
      <c r="Q1" s="3" t="inlineStr">
        <is>
          <t>study_type</t>
        </is>
      </c>
      <c r="R1" s="3" t="inlineStr">
        <is>
          <t>sample_dataset</t>
        </is>
      </c>
      <c r="S1" s="3" t="inlineStr">
        <is>
          <t>tools</t>
        </is>
      </c>
      <c r="T1" s="3" t="inlineStr">
        <is>
          <t>metrics</t>
        </is>
      </c>
      <c r="U1" s="3" t="inlineStr">
        <is>
          <t>main_results</t>
        </is>
      </c>
      <c r="V1" s="3" t="inlineStr">
        <is>
          <t>limitations</t>
        </is>
      </c>
      <c r="W1" s="3" t="inlineStr">
        <is>
          <t>gap</t>
        </is>
      </c>
      <c r="X1" s="3" t="inlineStr">
        <is>
          <t>relation_to_review</t>
        </is>
      </c>
      <c r="Y1" s="3" t="inlineStr">
        <is>
          <t>sq</t>
        </is>
      </c>
      <c r="Z1" s="3" t="inlineStr">
        <is>
          <t>method_short</t>
        </is>
      </c>
      <c r="AA1" s="3" t="inlineStr">
        <is>
          <t>key_finding</t>
        </is>
      </c>
      <c r="AB1" s="3" t="inlineStr">
        <is>
          <t>qa_total</t>
        </is>
      </c>
      <c r="AC1" s="3" t="inlineStr">
        <is>
          <t>qa_band</t>
        </is>
      </c>
    </row>
    <row r="2">
      <c r="A2" s="2" t="inlineStr">
        <is>
          <t>A002</t>
        </is>
      </c>
      <c r="B2" s="2" t="inlineStr">
        <is>
          <t>A002_Patel2026</t>
        </is>
      </c>
      <c r="C2" s="2" t="inlineStr">
        <is>
          <t>main</t>
        </is>
      </c>
      <c r="D2" s="2" t="inlineStr">
        <is>
          <t>Patel et al.</t>
        </is>
      </c>
      <c r="E2" s="2" t="inlineStr">
        <is>
          <t>2026</t>
        </is>
      </c>
      <c r="F2" s="2" t="inlineStr">
        <is>
          <t>Code Comprehension Gaps in AI-Assisted Development: A Conceptual Framework for Knowledge Erosion Patterns</t>
        </is>
      </c>
      <c r="G2" s="2" t="inlineStr">
        <is>
          <t>Journal article</t>
        </is>
      </c>
      <c r="H2" s="2" t="inlineStr">
        <is>
          <t>IEEE Access</t>
        </is>
      </c>
      <c r="I2" s="2" t="inlineStr">
        <is>
          <t>10.1109/access.2026.3689574</t>
        </is>
      </c>
      <c r="J2" s="2" t="inlineStr">
        <is>
          <t>IEEE Xplore</t>
        </is>
      </c>
      <c r="K2" s="2" t="inlineStr">
        <is>
          <t>B1</t>
        </is>
      </c>
      <c r="L2" s="2" t="inlineStr">
        <is>
          <t>Build a conceptual framework of knowledge erosion and comprehension gaps in AI-assisted development.</t>
        </is>
      </c>
      <c r="M2" s="2" t="inlineStr">
        <is>
          <t>Codebases fill with AI-generated code that developers do not understand, document, or maintain as they do human code.</t>
        </is>
      </c>
      <c r="N2" s="2" t="inlineStr">
        <is>
          <t>Organizational software engineering; references ISO/IEC 25010 and GDPR Art. 22.</t>
        </is>
      </c>
      <c r="O2" s="2" t="inlineStr">
        <is>
          <t>Taxonomy of five knowledge voids (provenance, edge case, integration, evolution, security), a five-level comprehension scale, and a conceptual model of debt accumulation.</t>
        </is>
      </c>
      <c r="P2" s="2" t="inlineStr">
        <is>
          <t>AI-generated vs. human-written code (conceptual).</t>
        </is>
      </c>
      <c r="Q2" s="2" t="inlineStr">
        <is>
          <t>Theoretical/conceptual (hypothesis-generating, not validated).</t>
        </is>
      </c>
      <c r="R2" s="2" t="inlineStr">
        <is>
          <t>None (no measured data).</t>
        </is>
      </c>
      <c r="S2" s="2" t="inlineStr">
        <is>
          <t>None; discusses Copilot, CodeWhisperer, ChatGPT.</t>
        </is>
      </c>
      <c r="T2" s="2" t="inlineStr">
        <is>
          <t>None; an illustrative, unmeasured debt-accumulation model.</t>
        </is>
      </c>
      <c r="U2" s="2" t="inlineStr">
        <is>
          <t>AI introduces a qualitatively different genesis of debt: debt can exist from creation because understanding was never acquired, and the usual recovery mechanism (asking the author) is missing.</t>
        </is>
      </c>
      <c r="V2" s="2" t="inlineStr">
        <is>
          <t>Purely conceptual, no empirical evidence (stated by the authors); illustrative figures.</t>
        </is>
      </c>
      <c r="W2" s="2" t="inlineStr">
        <is>
          <t>Longitudinal validation of knowledge erosion; objective measurement of comprehension in production.</t>
        </is>
      </c>
      <c r="X2" s="2" t="inlineStr">
        <is>
          <t>SQ1 framing: conceptual account of how AI-TD originates (provenance void). Used as a framework, not as evidence.</t>
        </is>
      </c>
      <c r="Y2" s="2" t="inlineStr">
        <is>
          <t>SQ1</t>
        </is>
      </c>
      <c r="Z2" s="2" t="inlineStr">
        <is>
          <t>Conceptual framework</t>
        </is>
      </c>
      <c r="AA2" s="2" t="inlineStr">
        <is>
          <t>Knowledge-erosion patterns; provenance void</t>
        </is>
      </c>
      <c r="AB2" s="5">
        <f>INDEX(S5_Quality!$I$2:$I$37,MATCH(A2,S5_Quality!$A$2:$A$37,0))</f>
        <v/>
      </c>
      <c r="AC2" s="5">
        <f>INDEX(S5_Quality!$J$2:$J$37,MATCH(A2,S5_Quality!$A$2:$A$37,0))</f>
        <v/>
      </c>
    </row>
    <row r="3">
      <c r="A3" s="2" t="inlineStr">
        <is>
          <t>A003</t>
        </is>
      </c>
      <c r="B3" s="2" t="inlineStr">
        <is>
          <t>A003_Meske2025</t>
        </is>
      </c>
      <c r="C3" s="2" t="inlineStr">
        <is>
          <t>main</t>
        </is>
      </c>
      <c r="D3" s="2" t="inlineStr">
        <is>
          <t>Meske et al.</t>
        </is>
      </c>
      <c r="E3" s="2" t="inlineStr">
        <is>
          <t>2025</t>
        </is>
      </c>
      <c r="F3" s="2" t="inlineStr">
        <is>
          <t>Vibe Coding as a Reconfiguration of Intent Mediation in Software Development: Definition, Implications, and Research Agenda</t>
        </is>
      </c>
      <c r="G3" s="2" t="inlineStr">
        <is>
          <t>Journal article</t>
        </is>
      </c>
      <c r="H3" s="2" t="inlineStr">
        <is>
          <t>IEEE Access</t>
        </is>
      </c>
      <c r="I3" s="2" t="inlineStr">
        <is>
          <t>10.1109/access.2025.3645466</t>
        </is>
      </c>
      <c r="J3" s="2" t="inlineStr">
        <is>
          <t>IEEE Xplore</t>
        </is>
      </c>
      <c r="K3" s="2" t="inlineStr">
        <is>
          <t>B1</t>
        </is>
      </c>
      <c r="L3" s="2" t="inlineStr">
        <is>
          <t>Define and conceptualize vibe coding as a development paradigm and analyse its implications.</t>
        </is>
      </c>
      <c r="M3" s="2" t="inlineStr">
        <is>
          <t>Gap between rapid adoption of vibe coding and its conceptual understanding; quality risks.</t>
        </is>
      </c>
      <c r="N3" s="2" t="inlineStr">
        <is>
          <t>Information systems / HCI; general software development.</t>
        </is>
      </c>
      <c r="O3" s="2" t="inlineStr">
        <is>
          <t>Conceptualization through a historical analysis of intent mediation, plus a research agenda.</t>
        </is>
      </c>
      <c r="P3" s="2" t="inlineStr">
        <is>
          <t>Deterministic instruction vs. probabilistic inference.</t>
        </is>
      </c>
      <c r="Q3" s="2" t="inlineStr">
        <is>
          <t>Theoretical/conceptual (perspective, no primary data).</t>
        </is>
      </c>
      <c r="R3" s="2" t="inlineStr">
        <is>
          <t>None; cites third-party statistics.</t>
        </is>
      </c>
      <c r="S3" s="2" t="inlineStr">
        <is>
          <t>Generative AI / LLMs as a category.</t>
        </is>
      </c>
      <c r="T3" s="2" t="inlineStr">
        <is>
          <t>None.</t>
        </is>
      </c>
      <c r="U3" s="2" t="inlineStr">
        <is>
          <t>Vibe coding shifts intent mediation from deterministic instruction to probabilistic inference; central risks are black-box codebases, responsibility gaps, deskilling, accelerated technical debt, and loss of traceability of intent.</t>
        </is>
      </c>
      <c r="V3" s="2" t="inlineStr">
        <is>
          <t>Purely conceptual; relies on third-party evidence; IS/HCI perspective.</t>
        </is>
      </c>
      <c r="W3" s="2" t="inlineStr">
        <is>
          <t>Human, technical, and organizational agenda; lack of traceability and governance mechanisms.</t>
        </is>
      </c>
      <c r="X3" s="2" t="inlineStr">
        <is>
          <t>SQ1 (conceptual): names the paradigm in which intent erodes and debt accumulates incrementally.</t>
        </is>
      </c>
      <c r="Y3" s="2" t="inlineStr">
        <is>
          <t>SQ1</t>
        </is>
      </c>
      <c r="Z3" s="2" t="inlineStr">
        <is>
          <t>Conceptual (HCI)</t>
        </is>
      </c>
      <c r="AA3" s="2" t="inlineStr">
        <is>
          <t>Vibe-coding intent erosion; incremental debt</t>
        </is>
      </c>
      <c r="AB3" s="5">
        <f>INDEX(S5_Quality!$I$2:$I$37,MATCH(A3,S5_Quality!$A$2:$A$37,0))</f>
        <v/>
      </c>
      <c r="AC3" s="5">
        <f>INDEX(S5_Quality!$J$2:$J$37,MATCH(A3,S5_Quality!$A$2:$A$37,0))</f>
        <v/>
      </c>
    </row>
    <row r="4">
      <c r="A4" s="2" t="inlineStr">
        <is>
          <t>A007</t>
        </is>
      </c>
      <c r="B4" s="2" t="inlineStr">
        <is>
          <t>A007_Dubey2026</t>
        </is>
      </c>
      <c r="C4" s="2" t="inlineStr">
        <is>
          <t>main</t>
        </is>
      </c>
      <c r="D4" s="2" t="inlineStr">
        <is>
          <t>Dubey &amp; Madisetti</t>
        </is>
      </c>
      <c r="E4" s="2" t="inlineStr">
        <is>
          <t>2026</t>
        </is>
      </c>
      <c r="F4" s="2" t="inlineStr">
        <is>
          <t>eXAI-CodeDebug: Towards Reliable, Trustworthy, and Explainable LLM-Based Coding for Production Systems</t>
        </is>
      </c>
      <c r="G4" s="2" t="inlineStr">
        <is>
          <t>Journal article</t>
        </is>
      </c>
      <c r="H4" s="2" t="inlineStr">
        <is>
          <t>Computing in Science &amp; Engineering</t>
        </is>
      </c>
      <c r="I4" s="2" t="inlineStr">
        <is>
          <t>10.1109/mcse.2026.3684488</t>
        </is>
      </c>
      <c r="J4" s="2" t="inlineStr">
        <is>
          <t>IEEE Xplore</t>
        </is>
      </c>
      <c r="K4" s="2" t="inlineStr">
        <is>
          <t>B1</t>
        </is>
      </c>
      <c r="L4" s="2" t="inlineStr">
        <is>
          <t>Design an explainable framework combining static analysis and an LLM for production code.</t>
        </is>
      </c>
      <c r="M4" s="2" t="inlineStr">
        <is>
          <t>AI tools lack transparency, confidence scores, and explanations; static analysers miss AI-specific issues.</t>
        </is>
      </c>
      <c r="N4" s="2" t="inlineStr">
        <is>
          <t>Production code; general.</t>
        </is>
      </c>
      <c r="O4" s="2" t="inlineStr">
        <is>
          <t>eXAI-CodeDebug: hybrid detection (Pylint + Bandit + GPT-4) with dual confidence scores, explanations, and automatic correction across seven issue categories.</t>
        </is>
      </c>
      <c r="P4" s="2" t="inlineStr">
        <is>
          <t>Against black-box IDE/LLM tools.</t>
        </is>
      </c>
      <c r="Q4" s="2" t="inlineStr">
        <is>
          <t>Framework proposal with prototype evaluation.</t>
        </is>
      </c>
      <c r="R4" s="2" t="inlineStr">
        <is>
          <t>48 seeded issues.</t>
        </is>
      </c>
      <c r="S4" s="2" t="inlineStr">
        <is>
          <t>Pylint, Bandit, GPT-4.</t>
        </is>
      </c>
      <c r="T4" s="2" t="inlineStr">
        <is>
          <t>Precision/recall per category, F1, quick-fix success, time.</t>
        </is>
      </c>
      <c r="U4" s="2" t="inlineStr">
        <is>
          <t>100% precision/recall for security and hallucination issues, 85.7% F1 for bug/quality/trustworthiness, 69% quick-fix success; debugging time reduced from 6-23 min to under 2 s per issue; static tools miss AI-specific issues such as hallucinations.</t>
        </is>
      </c>
      <c r="V4" s="2" t="inlineStr">
        <is>
          <t>Small evaluation (48 issues); prototype; reactive detection; Python only.</t>
        </is>
      </c>
      <c r="W4" s="2" t="inlineStr">
        <is>
          <t>Validation on real systems at scale.</t>
        </is>
      </c>
      <c r="X4" s="2" t="inlineStr">
        <is>
          <t>SQ3: hybrid static analysis + LLM as a reactive mitigation strategy; also characterizes AI-specific defects (SQ1).</t>
        </is>
      </c>
      <c r="Y4" s="2" t="inlineStr">
        <is>
          <t>SQ3</t>
        </is>
      </c>
      <c r="Z4" s="2" t="inlineStr">
        <is>
          <t>Empirical, LLM + static analysis</t>
        </is>
      </c>
      <c r="AA4" s="2" t="inlineStr">
        <is>
          <t>eXAI-CodeDebug: 7 issue categories; high prec/recall (n = 48)</t>
        </is>
      </c>
      <c r="AB4" s="5">
        <f>INDEX(S5_Quality!$I$2:$I$37,MATCH(A4,S5_Quality!$A$2:$A$37,0))</f>
        <v/>
      </c>
      <c r="AC4" s="5">
        <f>INDEX(S5_Quality!$J$2:$J$37,MATCH(A4,S5_Quality!$A$2:$A$37,0))</f>
        <v/>
      </c>
    </row>
    <row r="5">
      <c r="A5" s="2" t="inlineStr">
        <is>
          <t>A008</t>
        </is>
      </c>
      <c r="B5" s="2" t="inlineStr">
        <is>
          <t>A008_Alabdullatif2026</t>
        </is>
      </c>
      <c r="C5" s="2" t="inlineStr">
        <is>
          <t>main</t>
        </is>
      </c>
      <c r="D5" s="2" t="inlineStr">
        <is>
          <t>Alabdullatif</t>
        </is>
      </c>
      <c r="E5" s="2" t="inlineStr">
        <is>
          <t>2026</t>
        </is>
      </c>
      <c r="F5" s="2" t="inlineStr">
        <is>
          <t>Security and Reliability of AI-Generated C++ Code: A Static Analysis Study Aligned With Saudi NCA Essential Cybersecurity Controls (ECC)</t>
        </is>
      </c>
      <c r="G5" s="2" t="inlineStr">
        <is>
          <t>Journal article</t>
        </is>
      </c>
      <c r="H5" s="2" t="inlineStr">
        <is>
          <t>IEEE Access</t>
        </is>
      </c>
      <c r="I5" s="2" t="inlineStr">
        <is>
          <t>10.1109/access.2026.3679355</t>
        </is>
      </c>
      <c r="J5" s="2" t="inlineStr">
        <is>
          <t>IEEE Xplore</t>
        </is>
      </c>
      <c r="K5" s="2" t="inlineStr">
        <is>
          <t>B1</t>
        </is>
      </c>
      <c r="L5" s="2" t="inlineStr">
        <is>
          <t>Assess the security and reliability of AI-generated C++ code and the effect of prompt-based repair.</t>
        </is>
      </c>
      <c r="M5" s="2" t="inlineStr">
        <is>
          <t>LLM-generated C++ may contain vulnerabilities, a concern in safety-critical and regulated domains.</t>
        </is>
      </c>
      <c r="N5" s="2" t="inlineStr">
        <is>
          <t>Safety-critical/regulated C++ (automotive, aerospace, health); Saudi Arabia.</t>
        </is>
      </c>
      <c r="O5" s="2" t="inlineStr">
        <is>
          <t>Three phases: baseline analysis, prompt-based repair, re-analysis; mapping to CWE and the national Essential Cybersecurity Controls.</t>
        </is>
      </c>
      <c r="P5" s="2" t="inlineStr">
        <is>
          <t>Four LLMs; before vs. after repair.</t>
        </is>
      </c>
      <c r="Q5" s="2" t="inlineStr">
        <is>
          <t>Experimental (before/after).</t>
        </is>
      </c>
      <c r="R5" s="2" t="inlineStr">
        <is>
          <t>C++ programs across application domains, repeated generations.</t>
        </is>
      </c>
      <c r="S5" s="2" t="inlineStr">
        <is>
          <t>ChatGPT, Claude, DeepSeek, Gemini; Cppcheck, Clang-Tidy; CWE.</t>
        </is>
      </c>
      <c r="T5" s="2" t="inlineStr">
        <is>
          <t>Static-analysis findings by type; mapped CWEs; before/after counts.</t>
        </is>
      </c>
      <c r="U5" s="2" t="inlineStr">
        <is>
          <t>Recurring weaknesses (e.g., CWE-457, numeric conversions); prompt-based repair reduces but does not eliminate findings and sometimes increases them (Cppcheck: ChatGPT +129, DeepSeek +182).</t>
        </is>
      </c>
      <c r="V5" s="2" t="inlineStr">
        <is>
          <t>Safety-critical C++ limits transferability; CWE-control mapping involves judgement; security focus.</t>
        </is>
      </c>
      <c r="W5" s="2" t="inlineStr">
        <is>
          <t>Adaptive prompting; model-specific repair techniques.</t>
        </is>
      </c>
      <c r="X5" s="2" t="inlineStr">
        <is>
          <t>SQ3: reactive prompt-based repair is insufficient and can be counter-productive; also characterizes security debt (SQ1).</t>
        </is>
      </c>
      <c r="Y5" s="2" t="inlineStr">
        <is>
          <t>SQ3</t>
        </is>
      </c>
      <c r="Z5" s="2" t="inlineStr">
        <is>
          <t>Static analysis (C++, CWE)</t>
        </is>
      </c>
      <c r="AA5" s="2" t="inlineStr">
        <is>
          <t>Prompt repair reduces but can worsen findings</t>
        </is>
      </c>
      <c r="AB5" s="5">
        <f>INDEX(S5_Quality!$I$2:$I$37,MATCH(A5,S5_Quality!$A$2:$A$37,0))</f>
        <v/>
      </c>
      <c r="AC5" s="5">
        <f>INDEX(S5_Quality!$J$2:$J$37,MATCH(A5,S5_Quality!$A$2:$A$37,0))</f>
        <v/>
      </c>
    </row>
    <row r="6">
      <c r="A6" s="2" t="inlineStr">
        <is>
          <t>A010</t>
        </is>
      </c>
      <c r="B6" s="2" t="inlineStr">
        <is>
          <t>A010_Krebs2025</t>
        </is>
      </c>
      <c r="C6" s="2" t="inlineStr">
        <is>
          <t>main</t>
        </is>
      </c>
      <c r="D6" s="2" t="inlineStr">
        <is>
          <t>Krebs &amp; Mazumdar</t>
        </is>
      </c>
      <c r="E6" s="2" t="inlineStr">
        <is>
          <t>2025</t>
        </is>
      </c>
      <c r="F6" s="2" t="inlineStr">
        <is>
          <t>Analyzing LLM-Generated Code According to Four ISO/IEC 5055:2021 Categories</t>
        </is>
      </c>
      <c r="G6" s="2" t="inlineStr">
        <is>
          <t>Journal article</t>
        </is>
      </c>
      <c r="H6" s="2" t="inlineStr">
        <is>
          <t>IEEE Access</t>
        </is>
      </c>
      <c r="I6" s="2" t="inlineStr">
        <is>
          <t>10.1109/access.2025.3637569</t>
        </is>
      </c>
      <c r="J6" s="2" t="inlineStr">
        <is>
          <t>IEEE Xplore</t>
        </is>
      </c>
      <c r="K6" s="2" t="inlineStr">
        <is>
          <t>B1</t>
        </is>
      </c>
      <c r="L6" s="2" t="inlineStr">
        <is>
          <t>Measure how far LLM-generated code meets the four ISO/IEC 5055 quality categories.</t>
        </is>
      </c>
      <c r="M6" s="2" t="inlineStr">
        <is>
          <t>No comprehensive assessment of LLM code across maintainability, reliability, performance efficiency, and security.</t>
        </is>
      </c>
      <c r="N6" s="2" t="inlineStr">
        <is>
          <t>Multi-domain tasks (HPC, ML, data processing).</t>
        </is>
      </c>
      <c r="O6" s="2" t="inlineStr">
        <is>
          <t>Evaluation with stratified prompting (short/medium/long) and a weighted composite score per ISO/IEC 5055 category.</t>
        </is>
      </c>
      <c r="P6" s="2" t="inlineStr">
        <is>
          <t>Nine LLMs against each other and against a human-developer baseline.</t>
        </is>
      </c>
      <c r="Q6" s="2" t="inlineStr">
        <is>
          <t>Quantitative experimental study.</t>
        </is>
      </c>
      <c r="R6" s="2" t="inlineStr">
        <is>
          <t>9 algorithms × 3 domains; 9 LLMs; 3 prompt levels.</t>
        </is>
      </c>
      <c r="S6" s="2" t="inlineStr">
        <is>
          <t>Pylint, Radon (CC, MI, Halstead), Bandit, psutil; GPT-4-Turbo, Gemini, DeepSeek-Coder and others.</t>
        </is>
      </c>
      <c r="T6" s="2" t="inlineStr">
        <is>
          <t>Maintainability Index, cyclomatic complexity, Halstead delivered bugs, SLOC, CPU/memory; composite scores.</t>
        </is>
      </c>
      <c r="U6" s="2" t="inlineStr">
        <is>
          <t>GPT-4-Turbo best on reliability, efficiency, and security; Gemini best on maintainability, yet no LLM exceeded the human baseline on the maintainability composite (Gemini −12%); prompting alone does not ensure consistent quality.</t>
        </is>
      </c>
      <c r="V6" s="2" t="inlineStr">
        <is>
          <t>Model opacity prevents causal interpretation; modest sample of nine algorithms; temporal limitation.</t>
        </is>
      </c>
      <c r="W6" s="2" t="inlineStr">
        <is>
          <t>Extension to other languages and real systems; integrated validation.</t>
        </is>
      </c>
      <c r="X6" s="2" t="inlineStr">
        <is>
          <t>SQ1 (quality profile of LLM code) and SQ4 (composite quality score as a measurement precedent).</t>
        </is>
      </c>
      <c r="Y6" s="2" t="inlineStr">
        <is>
          <t>SQ1, SQ4</t>
        </is>
      </c>
      <c r="Z6" s="2" t="inlineStr">
        <is>
          <t>Static analysis, ISO/IEC 5055</t>
        </is>
      </c>
      <c r="AA6" s="2" t="inlineStr">
        <is>
          <t>Matches human per category; below human maintainability composite</t>
        </is>
      </c>
      <c r="AB6" s="5">
        <f>INDEX(S5_Quality!$I$2:$I$37,MATCH(A6,S5_Quality!$A$2:$A$37,0))</f>
        <v/>
      </c>
      <c r="AC6" s="5">
        <f>INDEX(S5_Quality!$J$2:$J$37,MATCH(A6,S5_Quality!$A$2:$A$37,0))</f>
        <v/>
      </c>
    </row>
    <row r="7">
      <c r="A7" s="2" t="inlineStr">
        <is>
          <t>A013</t>
        </is>
      </c>
      <c r="B7" s="2" t="inlineStr">
        <is>
          <t>A013_Khojah2025</t>
        </is>
      </c>
      <c r="C7" s="2" t="inlineStr">
        <is>
          <t>main</t>
        </is>
      </c>
      <c r="D7" s="2" t="inlineStr">
        <is>
          <t>Khojah et al.</t>
        </is>
      </c>
      <c r="E7" s="2" t="inlineStr">
        <is>
          <t>2025</t>
        </is>
      </c>
      <c r="F7" s="2" t="inlineStr">
        <is>
          <t>The Impact of Prompt Programming on Function-Level Code Generation</t>
        </is>
      </c>
      <c r="G7" s="2" t="inlineStr">
        <is>
          <t>Journal article</t>
        </is>
      </c>
      <c r="H7" s="2" t="inlineStr">
        <is>
          <t>IEEE Transactions on Software Engineering</t>
        </is>
      </c>
      <c r="I7" s="2" t="inlineStr">
        <is>
          <t>10.1109/tse.2025.3587794</t>
        </is>
      </c>
      <c r="J7" s="2" t="inlineStr">
        <is>
          <t>IEEE Xplore</t>
        </is>
      </c>
      <c r="K7" s="2" t="inlineStr">
        <is>
          <t>B1</t>
        </is>
      </c>
      <c r="L7" s="2" t="inlineStr">
        <is>
          <t>Determine how prompting techniques and their combinations affect correctness, similarity, and quality of generated code.</t>
        </is>
      </c>
      <c r="M7" s="2" t="inlineStr">
        <is>
          <t>The impact of interacting prompting techniques on function-level generation is not well studied.</t>
        </is>
      </c>
      <c r="N7" s="2" t="inlineStr">
        <is>
          <t>Function-level code generation.</t>
        </is>
      </c>
      <c r="O7" s="2" t="inlineStr">
        <is>
          <t>Full factorial experiment of five techniques and their 32 combinations (CodePromptEval).</t>
        </is>
      </c>
      <c r="P7" s="2" t="inlineStr">
        <is>
          <t>Few-shot, persona, chain-of-thought, function signature, list of packages, and combinations; three LLMs.</t>
        </is>
      </c>
      <c r="Q7" s="2" t="inlineStr">
        <is>
          <t>Experimental (full factorial).</t>
        </is>
      </c>
      <c r="R7" s="2" t="inlineStr">
        <is>
          <t>CodePromptEval: 7,072 prompts (221 CoderEval tasks × 32).</t>
        </is>
      </c>
      <c r="S7" s="2" t="inlineStr">
        <is>
          <t>GPT-4o, Llama 3, Mistral; Pylint; complexity analysis.</t>
        </is>
      </c>
      <c r="T7" s="2" t="inlineStr">
        <is>
          <t>Correctness (tests), CrystalBLEU, code smells (Pylint), cyclomatic and cognitive complexity; Wilcoxon, Vargha-Delaney A12.</t>
        </is>
      </c>
      <c r="U7" s="2" t="inlineStr">
        <is>
          <t>Combining techniques does not necessarily help; there is a correctness-maintainability trade-off; interface information (signature, few-shot) has the clearest effect; a strong emphasis on prompt programming is not necessary.</t>
        </is>
      </c>
      <c r="V7" s="2" t="inlineStr">
        <is>
          <t>Function level only; docstring-based tasks; sensitivity to prompt format.</t>
        </is>
      </c>
      <c r="W7" s="2" t="inlineStr">
        <is>
          <t>Datasets more representative of real projects.</t>
        </is>
      </c>
      <c r="X7" s="2" t="inlineStr">
        <is>
          <t>SQ3: the most rigorous evidence on the limited added value of prompt engineering for code quality.</t>
        </is>
      </c>
      <c r="Y7" s="2" t="inlineStr">
        <is>
          <t>SQ3</t>
        </is>
      </c>
      <c r="Z7" s="2" t="inlineStr">
        <is>
          <t>Controlled exp. (7,072 prompts)</t>
        </is>
      </c>
      <c r="AA7" s="2" t="inlineStr">
        <is>
          <t>Prompt engineering: limited added gain; correctness-quality trade-off</t>
        </is>
      </c>
      <c r="AB7" s="5">
        <f>INDEX(S5_Quality!$I$2:$I$37,MATCH(A7,S5_Quality!$A$2:$A$37,0))</f>
        <v/>
      </c>
      <c r="AC7" s="5">
        <f>INDEX(S5_Quality!$J$2:$J$37,MATCH(A7,S5_Quality!$A$2:$A$37,0))</f>
        <v/>
      </c>
    </row>
    <row r="8">
      <c r="A8" s="2" t="inlineStr">
        <is>
          <t>A014</t>
        </is>
      </c>
      <c r="B8" s="2" t="inlineStr">
        <is>
          <t>A014_Haindl2024</t>
        </is>
      </c>
      <c r="C8" s="2" t="inlineStr">
        <is>
          <t>main</t>
        </is>
      </c>
      <c r="D8" s="2" t="inlineStr">
        <is>
          <t>Haindl &amp; Weinberger</t>
        </is>
      </c>
      <c r="E8" s="2" t="inlineStr">
        <is>
          <t>2024</t>
        </is>
      </c>
      <c r="F8" s="2" t="inlineStr">
        <is>
          <t>Does ChatGPT Help Novice Programmers Write Better Code? Results From Static Code Analysis</t>
        </is>
      </c>
      <c r="G8" s="2" t="inlineStr">
        <is>
          <t>Journal article</t>
        </is>
      </c>
      <c r="H8" s="2" t="inlineStr">
        <is>
          <t>IEEE Access</t>
        </is>
      </c>
      <c r="I8" s="2" t="inlineStr">
        <is>
          <t>10.1109/access.2024.3445432</t>
        </is>
      </c>
      <c r="J8" s="2" t="inlineStr">
        <is>
          <t>IEEE Xplore</t>
        </is>
      </c>
      <c r="K8" s="2" t="inlineStr">
        <is>
          <t>B1</t>
        </is>
      </c>
      <c r="L8" s="2" t="inlineStr">
        <is>
          <t>Determine whether ChatGPT improves the code quality of novice programmers.</t>
        </is>
      </c>
      <c r="M8" s="2" t="inlineStr">
        <is>
          <t>Uncertain impact of ChatGPT on code quality in education.</t>
        </is>
      </c>
      <c r="N8" s="2" t="inlineStr">
        <is>
          <t>Higher education: introductory Java course, novice students.</t>
        </is>
      </c>
      <c r="O8" s="2" t="inlineStr">
        <is>
          <t>Controlled experiment (ChatGPT-assisted vs. unassisted).</t>
        </is>
      </c>
      <c r="P8" s="2" t="inlineStr">
        <is>
          <t>Control group (16) vs. treatment group (22).</t>
        </is>
      </c>
      <c r="Q8" s="2" t="inlineStr">
        <is>
          <t>Controlled experiment.</t>
        </is>
      </c>
      <c r="R8" s="2" t="inlineStr">
        <is>
          <t>38 students; identical exercises on coding conventions.</t>
        </is>
      </c>
      <c r="S8" s="2" t="inlineStr">
        <is>
          <t>ChatGPT; Checkstyle, PMD.</t>
        </is>
      </c>
      <c r="T8" s="2" t="inlineStr">
        <is>
          <t>Rule violations, cyclomatic complexity, cognitive complexity.</t>
        </is>
      </c>
      <c r="U8" s="2" t="inlineStr">
        <is>
          <t>The ChatGPT group improved code quality significantly (fewer violations, lower cyclomatic/cognitive complexity), but adapting the generated code required high effort and submissions were a mix of student and ChatGPT code.</t>
        </is>
      </c>
      <c r="V8" s="2" t="inlineStr">
        <is>
          <t>Small sample (38); novices; simple exercises; single course.</t>
        </is>
      </c>
      <c r="W8" s="2" t="inlineStr">
        <is>
          <t>Replication with larger, more diverse populations and other educational settings.</t>
        </is>
      </c>
      <c r="X8" s="2" t="inlineStr">
        <is>
          <t>SQ5: HEI evidence on LLM-assisted code quality; also compares assisted vs. unassisted work (SQ3) with static metrics (SQ4).</t>
        </is>
      </c>
      <c r="Y8" s="2" t="inlineStr">
        <is>
          <t>SQ5</t>
        </is>
      </c>
      <c r="Z8" s="2" t="inlineStr">
        <is>
          <t>Controlled exp. (university)</t>
        </is>
      </c>
      <c r="AA8" s="2" t="inlineStr">
        <is>
          <t>ChatGPT effect on novice code quality (small n)</t>
        </is>
      </c>
      <c r="AB8" s="5">
        <f>INDEX(S5_Quality!$I$2:$I$37,MATCH(A8,S5_Quality!$A$2:$A$37,0))</f>
        <v/>
      </c>
      <c r="AC8" s="5">
        <f>INDEX(S5_Quality!$J$2:$J$37,MATCH(A8,S5_Quality!$A$2:$A$37,0))</f>
        <v/>
      </c>
    </row>
    <row r="9">
      <c r="A9" s="2" t="inlineStr">
        <is>
          <t>A027</t>
        </is>
      </c>
      <c r="B9" s="2" t="inlineStr">
        <is>
          <t>A027_Zhuo2026</t>
        </is>
      </c>
      <c r="C9" s="2" t="inlineStr">
        <is>
          <t>main</t>
        </is>
      </c>
      <c r="D9" s="2" t="inlineStr">
        <is>
          <t>Zhuo et al.</t>
        </is>
      </c>
      <c r="E9" s="2" t="inlineStr">
        <is>
          <t>2026</t>
        </is>
      </c>
      <c r="F9" s="2" t="inlineStr">
        <is>
          <t>Getting Acquainted with Your LLMs: Are They Aware of Smelly Code?</t>
        </is>
      </c>
      <c r="G9" s="2" t="inlineStr">
        <is>
          <t>Journal article (theme article)</t>
        </is>
      </c>
      <c r="H9" s="2" t="inlineStr">
        <is>
          <t>IEEE Software</t>
        </is>
      </c>
      <c r="I9" s="2" t="inlineStr">
        <is>
          <t>10.1109/ms.2026.3665838</t>
        </is>
      </c>
      <c r="J9" s="2" t="inlineStr">
        <is>
          <t>IEEE Xplore</t>
        </is>
      </c>
      <c r="K9" s="2" t="inlineStr">
        <is>
          <t>B1</t>
        </is>
      </c>
      <c r="L9" s="2" t="inlineStr">
        <is>
          <t>Determine whether LLMs perceive code quality (code smells) in addition to functionality.</t>
        </is>
      </c>
      <c r="M9" s="2" t="inlineStr">
        <is>
          <t>LLM fluency may mask insensitivity to technical debt.</t>
        </is>
      </c>
      <c r="N9" s="2" t="inlineStr">
        <is>
          <t>Open-source Java code (brownfield); code-explanation task.</t>
        </is>
      </c>
      <c r="O9" s="2" t="inlineStr">
        <is>
          <t>Data-driven black-box behavioral probe using code smells as probes; audience-centric prompting with three personas.</t>
        </is>
      </c>
      <c r="P9" s="2" t="inlineStr">
        <is>
          <t>Smelly vs. clean code; persona vs. persona; model vs. model.</t>
        </is>
      </c>
      <c r="Q9" s="2" t="inlineStr">
        <is>
          <t>Exploratory empirical study.</t>
        </is>
      </c>
      <c r="R9" s="2" t="inlineStr">
        <is>
          <t>4,358 Java methods from CodeXGLUE; 10 smell types in 4 categories.</t>
        </is>
      </c>
      <c r="S9" s="2" t="inlineStr">
        <is>
          <t>GPT-4o, GLM-4; DeepSeek-V3.2 as judge; sentence embeddings; BLEU/ROUGE/METEOR.</t>
        </is>
      </c>
      <c r="T9" s="2" t="inlineStr">
        <is>
          <t>Kolmogorov-Smirnov tests, medoid distance, LLM-as-judge quality awareness and role sensitivity, verbatim recycling.</t>
        </is>
      </c>
      <c r="U9" s="2" t="inlineStr">
        <is>
          <t>Widespread insensitivity to smells (p &gt; 0.05); a Yes-Man behavior that rationalizes defective code; quality awareness absent in 55% of explanations; low role sensitivity in over 80%.</t>
        </is>
      </c>
      <c r="V9" s="2" t="inlineStr">
        <is>
          <t>Java/CodeXGLUE only; heuristic smell labels; two models; LLM-judge bias (mitigated); exploratory.</t>
        </is>
      </c>
      <c r="W9" s="2" t="inlineStr">
        <is>
          <t>Need for explicit structure and constraints rather than relying on LLM self-detection.</t>
        </is>
      </c>
      <c r="X9" s="2" t="inlineStr">
        <is>
          <t>SQ1: LLMs do not reliably recognize the debt they produce; also bounds LLM-based review (SQ3).</t>
        </is>
      </c>
      <c r="Y9" s="2" t="inlineStr">
        <is>
          <t>SQ1</t>
        </is>
      </c>
      <c r="Z9" s="2" t="inlineStr">
        <is>
          <t>Empirical</t>
        </is>
      </c>
      <c r="AA9" s="2" t="inlineStr">
        <is>
          <t>LLMs insensitive to code smells ('Yes-Man')</t>
        </is>
      </c>
      <c r="AB9" s="5">
        <f>INDEX(S5_Quality!$I$2:$I$37,MATCH(A9,S5_Quality!$A$2:$A$37,0))</f>
        <v/>
      </c>
      <c r="AC9" s="5">
        <f>INDEX(S5_Quality!$J$2:$J$37,MATCH(A9,S5_Quality!$A$2:$A$37,0))</f>
        <v/>
      </c>
    </row>
    <row r="10">
      <c r="A10" s="2" t="inlineStr">
        <is>
          <t>A037</t>
        </is>
      </c>
      <c r="B10" s="2" t="inlineStr">
        <is>
          <t>A037_Alomar2025</t>
        </is>
      </c>
      <c r="C10" s="2" t="inlineStr">
        <is>
          <t>main</t>
        </is>
      </c>
      <c r="D10" s="2" t="inlineStr">
        <is>
          <t>Alomar</t>
        </is>
      </c>
      <c r="E10" s="2" t="inlineStr">
        <is>
          <t>2025</t>
        </is>
      </c>
      <c r="F10" s="2" t="inlineStr">
        <is>
          <t>Nurturing Code Quality: Leveraging Static Analysis and Large Language Models for Software Quality in Education</t>
        </is>
      </c>
      <c r="G10" s="2" t="inlineStr">
        <is>
          <t>Journal article</t>
        </is>
      </c>
      <c r="H10" s="2" t="inlineStr">
        <is>
          <t>ACM Transactions on Computing Education</t>
        </is>
      </c>
      <c r="I10" s="2" t="inlineStr">
        <is>
          <t>10.1145/3722229</t>
        </is>
      </c>
      <c r="J10" s="2" t="inlineStr">
        <is>
          <t>Scopus</t>
        </is>
      </c>
      <c r="K10" s="2" t="inlineStr">
        <is>
          <t>B1</t>
        </is>
      </c>
      <c r="L10" s="2" t="inlineStr">
        <is>
          <t>Examine how PMD and ChatGPT support code-quality improvement in the classroom.</t>
        </is>
      </c>
      <c r="M10" s="2" t="inlineStr">
        <is>
          <t>Linter warnings are often non-actionable; the role of ChatGPT in educational code review is unclear.</t>
        </is>
      </c>
      <c r="N10" s="2" t="inlineStr">
        <is>
          <t>Higher education: undergraduate/graduate code-review activity.</t>
        </is>
      </c>
      <c r="O10" s="2" t="inlineStr">
        <is>
          <t>Integration of PMD (static analysis) and ChatGPT (helper) in code review.</t>
        </is>
      </c>
      <c r="P10" s="2" t="inlineStr">
        <is>
          <t>Added value of ChatGPT over PMD.</t>
        </is>
      </c>
      <c r="Q10" s="2" t="inlineStr">
        <is>
          <t>Empirical, quantitative and qualitative (educational experience).</t>
        </is>
      </c>
      <c r="R10" s="2" t="inlineStr">
        <is>
          <t>155 submissions; 1,658 PMD rule findings.</t>
        </is>
      </c>
      <c r="S10" s="2" t="inlineStr">
        <is>
          <t>PMD; ChatGPT; expert assessment and student feedback.</t>
        </is>
      </c>
      <c r="T10" s="2" t="inlineStr">
        <is>
          <t>Issue categories, resolution time, success ratios (student perception).</t>
        </is>
      </c>
      <c r="U10" s="2" t="inlineStr">
        <is>
          <t>For 93% of issues ChatGPT identified nothing beyond PMD; design issues took longest to resolve; prompts addressing clarity, complexity, and context support learning; a PMD + ChatGPT synergy is recommended.</t>
        </is>
      </c>
      <c r="V10" s="2" t="inlineStr">
        <is>
          <t>One course and instructor; self-reported perception; no structural TD metrics.</t>
        </is>
      </c>
      <c r="W10" s="2" t="inlineStr">
        <is>
          <t>Integrating code review into the curriculum; effective strategies.</t>
        </is>
      </c>
      <c r="X10" s="2" t="inlineStr">
        <is>
          <t>SQ3: limit of the LLM as reviewer relative to a linter; HEI setting (SQ5).</t>
        </is>
      </c>
      <c r="Y10" s="2" t="inlineStr">
        <is>
          <t>SQ3</t>
        </is>
      </c>
      <c r="Z10" s="2" t="inlineStr">
        <is>
          <t>155 submissions, PMD vs. ChatGPT</t>
        </is>
      </c>
      <c r="AA10" s="2" t="inlineStr">
        <is>
          <t>ChatGPT adds no value over PMD in 93%</t>
        </is>
      </c>
      <c r="AB10" s="5">
        <f>INDEX(S5_Quality!$I$2:$I$37,MATCH(A10,S5_Quality!$A$2:$A$37,0))</f>
        <v/>
      </c>
      <c r="AC10" s="5">
        <f>INDEX(S5_Quality!$J$2:$J$37,MATCH(A10,S5_Quality!$A$2:$A$37,0))</f>
        <v/>
      </c>
    </row>
    <row r="11">
      <c r="A11" s="2" t="inlineStr">
        <is>
          <t>A040</t>
        </is>
      </c>
      <c r="B11" s="2" t="inlineStr">
        <is>
          <t>A040_Gnieciak2025</t>
        </is>
      </c>
      <c r="C11" s="2" t="inlineStr">
        <is>
          <t>main</t>
        </is>
      </c>
      <c r="D11" s="2" t="inlineStr">
        <is>
          <t>Gnieciak &amp; Szandala</t>
        </is>
      </c>
      <c r="E11" s="2" t="inlineStr">
        <is>
          <t>2025</t>
        </is>
      </c>
      <c r="F11" s="2" t="inlineStr">
        <is>
          <t>Large Language Models Versus Static Code Analysis Tools: A Systematic Benchmark for Vulnerability Detection</t>
        </is>
      </c>
      <c r="G11" s="2" t="inlineStr">
        <is>
          <t>Journal article</t>
        </is>
      </c>
      <c r="H11" s="2" t="inlineStr">
        <is>
          <t>IEEE Access</t>
        </is>
      </c>
      <c r="I11" s="2" t="inlineStr">
        <is>
          <t>10.1109/access.2025.3635168</t>
        </is>
      </c>
      <c r="J11" s="2" t="inlineStr">
        <is>
          <t>Scopus</t>
        </is>
      </c>
      <c r="K11" s="2" t="inlineStr">
        <is>
          <t>B1</t>
        </is>
      </c>
      <c r="L11" s="2" t="inlineStr">
        <is>
          <t>Compare LLMs and static analysis tools head-to-head on vulnerability detection.</t>
        </is>
      </c>
      <c r="M11" s="2" t="inlineStr">
        <is>
          <t>Static tools are noisy with limited coverage; the role of LLMs is emerging.</t>
        </is>
      </c>
      <c r="N11" s="2" t="inlineStr">
        <is>
          <t>Real C# projects; security.</t>
        </is>
      </c>
      <c r="O11" s="2" t="inlineStr">
        <is>
          <t>Open benchmark and evaluation protocol; recommends a hybrid pipeline.</t>
        </is>
      </c>
      <c r="P11" s="2" t="inlineStr">
        <is>
          <t>Three LLMs (GPT-4.1, Mistral Large, DeepSeek V3) vs. three static tools (SonarQube, CodeQL, Snyk Code).</t>
        </is>
      </c>
      <c r="Q11" s="2" t="inlineStr">
        <is>
          <t>Systematic benchmark (quantitative and qualitative).</t>
        </is>
      </c>
      <c r="R11" s="2" t="inlineStr">
        <is>
          <t>10 C# projects with 63 vulnerabilities.</t>
        </is>
      </c>
      <c r="S11" s="2" t="inlineStr">
        <is>
          <t>GitHub Models; SonarQube, CodeQL, Snyk Code.</t>
        </is>
      </c>
      <c r="T11" s="2" t="inlineStr">
        <is>
          <t>Precision, recall, F1, latency, vetting effort.</t>
        </is>
      </c>
      <c r="U11" s="2" t="inlineStr">
        <is>
          <t>LLMs reach F1 0.75-0.80 vs. 0.26-0.55 for static tools (driven by recall), but mislocalize issues and produce false positives; a hybrid of early LLM triage and static verification is recommended.</t>
        </is>
      </c>
      <c r="V11" s="2" t="inlineStr">
        <is>
          <t>Security domain in C#, not maintainability debt; 63 vulnerabilities; static-tool F1 refers to vulnerabilities, not code smells.</t>
        </is>
      </c>
      <c r="W11" s="2" t="inlineStr">
        <is>
          <t>Hybrid pipelines; better localization; multi-language coverage.</t>
        </is>
      </c>
      <c r="X11" s="2" t="inlineStr">
        <is>
          <t>SQ3: comparison of LLM-based and static-analysis detection; calibrates static tools as instruments (SQ4).</t>
        </is>
      </c>
      <c r="Y11" s="2" t="inlineStr">
        <is>
          <t>SQ3</t>
        </is>
      </c>
      <c r="Z11" s="2" t="inlineStr">
        <is>
          <t>Benchmark (10 C# projects)</t>
        </is>
      </c>
      <c r="AA11" s="2" t="inlineStr">
        <is>
          <t>LLMs vs. SonarQube/CodeQL; hybrid pipeline advised</t>
        </is>
      </c>
      <c r="AB11" s="5">
        <f>INDEX(S5_Quality!$I$2:$I$37,MATCH(A11,S5_Quality!$A$2:$A$37,0))</f>
        <v/>
      </c>
      <c r="AC11" s="5">
        <f>INDEX(S5_Quality!$J$2:$J$37,MATCH(A11,S5_Quality!$A$2:$A$37,0))</f>
        <v/>
      </c>
    </row>
    <row r="12">
      <c r="A12" s="2" t="inlineStr">
        <is>
          <t>A041</t>
        </is>
      </c>
      <c r="B12" s="2" t="inlineStr">
        <is>
          <t>A041_MohammedSalih2025</t>
        </is>
      </c>
      <c r="C12" s="2" t="inlineStr">
        <is>
          <t>main</t>
        </is>
      </c>
      <c r="D12" s="2" t="inlineStr">
        <is>
          <t>Mohammed Salih &amp; Sarhan</t>
        </is>
      </c>
      <c r="E12" s="2" t="inlineStr">
        <is>
          <t>2025</t>
        </is>
      </c>
      <c r="F12" s="2" t="inlineStr">
        <is>
          <t>A Study of Large Language Models in Detecting Python Code Violations</t>
        </is>
      </c>
      <c r="G12" s="2" t="inlineStr">
        <is>
          <t>Journal article</t>
        </is>
      </c>
      <c r="H12" s="2" t="inlineStr">
        <is>
          <t>ARO-The Scientific Journal of Koya University</t>
        </is>
      </c>
      <c r="I12" s="2" t="inlineStr">
        <is>
          <t>10.14500/aro.12395</t>
        </is>
      </c>
      <c r="J12" s="2" t="inlineStr">
        <is>
          <t>Scopus</t>
        </is>
      </c>
      <c r="K12" s="2" t="inlineStr">
        <is>
          <t>B1</t>
        </is>
      </c>
      <c r="L12" s="2" t="inlineStr">
        <is>
          <t>Assess LLMs vs. static tools in detecting Python code violations, and the effect of prompting.</t>
        </is>
      </c>
      <c r="M12" s="2" t="inlineStr">
        <is>
          <t>Static tools lack deep semantic and contextual understanding.</t>
        </is>
      </c>
      <c r="N12" s="2" t="inlineStr">
        <is>
          <t>Python code; quality violations.</t>
        </is>
      </c>
      <c r="O12" s="2" t="inlineStr">
        <is>
          <t>Comparison of LLMs and static tools under three prompting strategies.</t>
        </is>
      </c>
      <c r="P12" s="2" t="inlineStr">
        <is>
          <t>Six LLMs vs. Pylint and Flake8; structured vs. chain-of-thought vs. role-based prompts.</t>
        </is>
      </c>
      <c r="Q12" s="2" t="inlineStr">
        <is>
          <t>Experimental (quantitative and qualitative).</t>
        </is>
      </c>
      <c r="R12" s="2" t="inlineStr">
        <is>
          <t>75 Python snippets with 27 violation types (including PEP 8).</t>
        </is>
      </c>
      <c r="S12" s="2" t="inlineStr">
        <is>
          <t>ChatGPT, Gemini, Claude Sonnet, DeepSeek, Kimi, Qwen; Pylint, Flake8.</t>
        </is>
      </c>
      <c r="T12" s="2" t="inlineStr">
        <is>
          <t>Precision, recall, F1.</t>
        </is>
      </c>
      <c r="U12" s="2" t="inlineStr">
        <is>
          <t>Claude Sonnet reached the best F1 (0.81), above Flake8 (0.79); structured prompts gave the most balanced results, while chain-of-thought and role prompts were irregular; per-snippet processing beat batch processing.</t>
        </is>
      </c>
      <c r="V12" s="2" t="inlineStr">
        <is>
          <t>Small sample (75 snippets); lower-impact venue; LLMs struggle with multi-file context.</t>
        </is>
      </c>
      <c r="W12" s="2" t="inlineStr">
        <is>
          <t>Generalization to other languages; LLMs as a complement to static tools.</t>
        </is>
      </c>
      <c r="X12" s="2" t="inlineStr">
        <is>
          <t>SQ3: compares prompting strategies and static tools; structured input yields more balanced detection.</t>
        </is>
      </c>
      <c r="Y12" s="2" t="inlineStr">
        <is>
          <t>SQ3</t>
        </is>
      </c>
      <c r="Z12" s="2" t="inlineStr">
        <is>
          <t>6 LLMs vs. Pylint/Flake8</t>
        </is>
      </c>
      <c r="AA12" s="2" t="inlineStr">
        <is>
          <t>Structured prompts beat CoT/role for review</t>
        </is>
      </c>
      <c r="AB12" s="5">
        <f>INDEX(S5_Quality!$I$2:$I$37,MATCH(A12,S5_Quality!$A$2:$A$37,0))</f>
        <v/>
      </c>
      <c r="AC12" s="5">
        <f>INDEX(S5_Quality!$J$2:$J$37,MATCH(A12,S5_Quality!$A$2:$A$37,0))</f>
        <v/>
      </c>
    </row>
    <row r="13">
      <c r="A13" s="2" t="inlineStr">
        <is>
          <t>A045</t>
        </is>
      </c>
      <c r="B13" s="2" t="inlineStr">
        <is>
          <t>A045_Gheventer2026</t>
        </is>
      </c>
      <c r="C13" s="2" t="inlineStr">
        <is>
          <t>main</t>
        </is>
      </c>
      <c r="D13" s="2" t="inlineStr">
        <is>
          <t>Gheventer et al.</t>
        </is>
      </c>
      <c r="E13" s="2" t="inlineStr">
        <is>
          <t>2026</t>
        </is>
      </c>
      <c r="F13" s="2" t="inlineStr">
        <is>
          <t>Generative AI solutions for software quality: Assessing industrial readiness</t>
        </is>
      </c>
      <c r="G13" s="2" t="inlineStr">
        <is>
          <t>Journal article</t>
        </is>
      </c>
      <c r="H13" s="2" t="inlineStr">
        <is>
          <t>Software Quality Journal</t>
        </is>
      </c>
      <c r="I13" s="2" t="inlineStr">
        <is>
          <t>10.1007/s11219-026-09754-7</t>
        </is>
      </c>
      <c r="J13" s="2" t="inlineStr">
        <is>
          <t>Scopus</t>
        </is>
      </c>
      <c r="K13" s="2" t="inlineStr">
        <is>
          <t>B1</t>
        </is>
      </c>
      <c r="L13" s="2" t="inlineStr">
        <is>
          <t>Assess the maturity and industrial readiness of GenAI solutions for software quality.</t>
        </is>
      </c>
      <c r="M13" s="2" t="inlineStr">
        <is>
          <t>Gap between research prototypes and production-ready tools.</t>
        </is>
      </c>
      <c r="N13" s="2" t="inlineStr">
        <is>
          <t>GenAI solutions for software quality; Brazilian authorship.</t>
        </is>
      </c>
      <c r="O13" s="2" t="inlineStr">
        <is>
          <t>Rapid multivocal literature review; classification by ISO/IEC 25010 and SDLC phase.</t>
        </is>
      </c>
      <c r="P13" s="2" t="inlineStr">
        <is>
          <t>24 solutions; academic vs. grey sources.</t>
        </is>
      </c>
      <c r="Q13" s="2" t="inlineStr">
        <is>
          <t>Literature review (rapid multivocal).</t>
        </is>
      </c>
      <c r="R13" s="2" t="inlineStr">
        <is>
          <t>24 GenAI solutions (Scopus, Google, GitHub, PapersWithCode).</t>
        </is>
      </c>
      <c r="S13" s="2" t="inlineStr">
        <is>
          <t>ISO/IEC 25010 framework; diverse LLM solutions.</t>
        </is>
      </c>
      <c r="T13" s="2" t="inlineStr">
        <is>
          <t>Classification by ISO/IEC 25010 attributes and SDLC phase (maturity).</t>
        </is>
      </c>
      <c r="U13" s="2" t="inlineStr">
        <is>
          <t>Low maturity; a last-mile problem from prototype to production; a strategic adoption dilemma; scarcity of realistic public data; a reliability gap between academia and industry.</t>
        </is>
      </c>
      <c r="V13" s="2" t="inlineStr">
        <is>
          <t>Secondary study; does not measure TD or code; focus on tool maturity.</t>
        </is>
      </c>
      <c r="W13" s="2" t="inlineStr">
        <is>
          <t>Contamination-free benchmarks, explainable architectures, guidance for real integration.</t>
        </is>
      </c>
      <c r="X13" s="2" t="inlineStr">
        <is>
          <t>SQ5: field maturity and the last-mile gap; Latin American (Brazilian) authorship.</t>
        </is>
      </c>
      <c r="Y13" s="2" t="inlineStr">
        <is>
          <t>SQ5</t>
        </is>
      </c>
      <c r="Z13" s="2" t="inlineStr">
        <is>
          <t>Rapid MLR (24 tools)</t>
        </is>
      </c>
      <c r="AA13" s="2" t="inlineStr">
        <is>
          <t>Low industrial maturity; last-mile gap</t>
        </is>
      </c>
      <c r="AB13" s="5">
        <f>INDEX(S5_Quality!$I$2:$I$37,MATCH(A13,S5_Quality!$A$2:$A$37,0))</f>
        <v/>
      </c>
      <c r="AC13" s="5">
        <f>INDEX(S5_Quality!$J$2:$J$37,MATCH(A13,S5_Quality!$A$2:$A$37,0))</f>
        <v/>
      </c>
    </row>
    <row r="14">
      <c r="A14" s="2" t="inlineStr">
        <is>
          <t>A046</t>
        </is>
      </c>
      <c r="B14" s="2" t="inlineStr">
        <is>
          <t>A046_Fawareh2025</t>
        </is>
      </c>
      <c r="C14" s="2" t="inlineStr">
        <is>
          <t>main</t>
        </is>
      </c>
      <c r="D14" s="2" t="inlineStr">
        <is>
          <t>Fawareh et al.</t>
        </is>
      </c>
      <c r="E14" s="2" t="inlineStr">
        <is>
          <t>2025</t>
        </is>
      </c>
      <c r="F14" s="2" t="inlineStr">
        <is>
          <t>Comparing Open Source with Software Code Generated by AI Tools from Software Maintainability Quality Factor Perspective</t>
        </is>
      </c>
      <c r="G14" s="2" t="inlineStr">
        <is>
          <t>Journal article</t>
        </is>
      </c>
      <c r="H14" s="2" t="inlineStr">
        <is>
          <t>WSEAS Transactions on Computer Research</t>
        </is>
      </c>
      <c r="I14" s="2" t="inlineStr">
        <is>
          <t>10.37394/232018.2025.13.58</t>
        </is>
      </c>
      <c r="J14" s="2" t="inlineStr">
        <is>
          <t>Scopus</t>
        </is>
      </c>
      <c r="K14" s="2" t="inlineStr">
        <is>
          <t>B1</t>
        </is>
      </c>
      <c r="L14" s="2" t="inlineStr">
        <is>
          <t>Compare the maintainability of ChatGPT code with human open-source code.</t>
        </is>
      </c>
      <c r="M14" s="2" t="inlineStr">
        <is>
          <t>Impact of AI-generated code on maintainability and complexity.</t>
        </is>
      </c>
      <c r="N14" s="2" t="inlineStr">
        <is>
          <t>Algorithmic tasks at three difficulty levels.</t>
        </is>
      </c>
      <c r="O14" s="2" t="inlineStr">
        <is>
          <t>Descriptive comparison using software metrics.</t>
        </is>
      </c>
      <c r="P14" s="2" t="inlineStr">
        <is>
          <t>ChatGPT vs. human GitHub code.</t>
        </is>
      </c>
      <c r="Q14" s="2" t="inlineStr">
        <is>
          <t>Very small-scale experimental study.</t>
        </is>
      </c>
      <c r="R14" s="2" t="inlineStr">
        <is>
          <t>3 tasks (calculator, integer-to-Roman, median of sorted arrays).</t>
        </is>
      </c>
      <c r="S14" s="2" t="inlineStr">
        <is>
          <t>ChatGPT; metric computation (no standard tool specified).</t>
        </is>
      </c>
      <c r="T14" s="2" t="inlineStr">
        <is>
          <t>Maintainability Index, LOC, cyclomatic complexity, Halstead volume, comment percentage.</t>
        </is>
      </c>
      <c r="U14" s="2" t="inlineStr">
        <is>
          <t>ChatGPT code was more verbose but had a maintainability advantage on the complex task (MI 131.31 vs. 83.66) and more comments (25% vs. 0%).</t>
        </is>
      </c>
      <c r="V14" s="2" t="inlineStr">
        <is>
          <t>Very weak evidence: three trivial tasks, no statistics.</t>
        </is>
      </c>
      <c r="W14" s="2" t="inlineStr">
        <is>
          <t>Evaluation on real systems with larger samples.</t>
        </is>
      </c>
      <c r="X14" s="2" t="inlineStr">
        <is>
          <t>SQ1: maintainability comparison of AI and human code on three small tasks; favors ChatGPT, weak evidence; confirms MI/CC/Halstead as standard metrics.</t>
        </is>
      </c>
      <c r="Y14" s="2" t="inlineStr">
        <is>
          <t>SQ1</t>
        </is>
      </c>
      <c r="Z14" s="2" t="inlineStr">
        <is>
          <t>Empirical (MI, CC, Halstead)</t>
        </is>
      </c>
      <c r="AA14" s="2" t="inlineStr">
        <is>
          <t>ChatGPT code more maintainable on complex task (3 tasks, no statistics)</t>
        </is>
      </c>
      <c r="AB14" s="5">
        <f>INDEX(S5_Quality!$I$2:$I$37,MATCH(A14,S5_Quality!$A$2:$A$37,0))</f>
        <v/>
      </c>
      <c r="AC14" s="5">
        <f>INDEX(S5_Quality!$J$2:$J$37,MATCH(A14,S5_Quality!$A$2:$A$37,0))</f>
        <v/>
      </c>
    </row>
    <row r="15">
      <c r="A15" s="2" t="inlineStr">
        <is>
          <t>A052</t>
        </is>
      </c>
      <c r="B15" s="2" t="inlineStr">
        <is>
          <t>A052_Patcas2026</t>
        </is>
      </c>
      <c r="C15" s="2" t="inlineStr">
        <is>
          <t>main</t>
        </is>
      </c>
      <c r="D15" s="2" t="inlineStr">
        <is>
          <t>Patcas &amp; Motogna</t>
        </is>
      </c>
      <c r="E15" s="2" t="inlineStr">
        <is>
          <t>2026</t>
        </is>
      </c>
      <c r="F15" s="2" t="inlineStr">
        <is>
          <t>An evaluation study of large language models for addressing code quality issues</t>
        </is>
      </c>
      <c r="G15" s="2" t="inlineStr">
        <is>
          <t>Journal article</t>
        </is>
      </c>
      <c r="H15" s="2" t="inlineStr">
        <is>
          <t>Empirical Software Engineering</t>
        </is>
      </c>
      <c r="I15" s="2" t="inlineStr">
        <is>
          <t>10.1007/s10664-026-10858-8</t>
        </is>
      </c>
      <c r="J15" s="2" t="inlineStr">
        <is>
          <t>Scopus</t>
        </is>
      </c>
      <c r="K15" s="2" t="inlineStr">
        <is>
          <t>B1</t>
        </is>
      </c>
      <c r="L15" s="2" t="inlineStr">
        <is>
          <t>Determine whether LLMs can automatically resolve issues detected by SonarQube.</t>
        </is>
      </c>
      <c r="M15" s="2" t="inlineStr">
        <is>
          <t>Static tools detect but do not fix issues; manual repair is costly.</t>
        </is>
      </c>
      <c r="N15" s="2" t="inlineStr">
        <is>
          <t>Real open-source Python projects.</t>
        </is>
      </c>
      <c r="O15" s="2" t="inlineStr">
        <is>
          <t>Automated repair: SonarQube issue to structured prompt to LLM fix replacing the function; multi-layer evaluation (static, execution, semantic).</t>
        </is>
      </c>
      <c r="P15" s="2" t="inlineStr">
        <is>
          <t>Six LLMs; before vs. after repair.</t>
        </is>
      </c>
      <c r="Q15" s="2" t="inlineStr">
        <is>
          <t>Multi-layer experimental study.</t>
        </is>
      </c>
      <c r="R15" s="2" t="inlineStr">
        <is>
          <t>20 Python projects; 17,112 functions.</t>
        </is>
      </c>
      <c r="S15" s="2" t="inlineStr">
        <is>
          <t>SonarQube; GPT-4o, Gemini 2.0 Flash, Claude 3 Opus, Mistral Large, Grok 3, DeepSeek V3; GPT-4o as semantic judge.</t>
        </is>
      </c>
      <c r="T15" s="2" t="inlineStr">
        <is>
          <t>Static repair success rate (SRSR), related repair rates, test pass rate, semantic equivalence.</t>
        </is>
      </c>
      <c r="U15" s="2" t="inlineStr">
        <is>
          <t>Average reduction of SonarQube issues of 36.02% (best 71.54%); about two thirds of fixes preserve functionality; models fail on cross-function debt; structural validity does not imply semantic correctness.</t>
        </is>
      </c>
      <c r="V15" s="2" t="inlineStr">
        <is>
          <t>Python only; function-level repair; semantics estimated by an LLM; SonarQube false positives.</t>
        </is>
      </c>
      <c r="W15" s="2" t="inlineStr">
        <is>
          <t>Architectural/cross-function repair; robust behavioral validation.</t>
        </is>
      </c>
      <c r="X15" s="2" t="inlineStr">
        <is>
          <t>SQ3: quantifies the ceiling of reactive LLM repair; SonarQube as measurement instrument (SQ4).</t>
        </is>
      </c>
      <c r="Y15" s="2" t="inlineStr">
        <is>
          <t>SQ3</t>
        </is>
      </c>
      <c r="Z15" s="2" t="inlineStr">
        <is>
          <t>6 LLMs, SonarQube repair</t>
        </is>
      </c>
      <c r="AA15" s="2" t="inlineStr">
        <is>
          <t>−36% issues avg.; structural ≠ semantic</t>
        </is>
      </c>
      <c r="AB15" s="5">
        <f>INDEX(S5_Quality!$I$2:$I$37,MATCH(A15,S5_Quality!$A$2:$A$37,0))</f>
        <v/>
      </c>
      <c r="AC15" s="5">
        <f>INDEX(S5_Quality!$J$2:$J$37,MATCH(A15,S5_Quality!$A$2:$A$37,0))</f>
        <v/>
      </c>
    </row>
    <row r="16">
      <c r="A16" s="2" t="inlineStr">
        <is>
          <t>A053</t>
        </is>
      </c>
      <c r="B16" s="2" t="inlineStr">
        <is>
          <t>A053_Tosi2024</t>
        </is>
      </c>
      <c r="C16" s="2" t="inlineStr">
        <is>
          <t>main</t>
        </is>
      </c>
      <c r="D16" s="2" t="inlineStr">
        <is>
          <t>Tosi</t>
        </is>
      </c>
      <c r="E16" s="2" t="inlineStr">
        <is>
          <t>2024</t>
        </is>
      </c>
      <c r="F16" s="2" t="inlineStr">
        <is>
          <t>Studying the Quality of Source Code Generated by Different AI Generative Engines: An Empirical Evaluation</t>
        </is>
      </c>
      <c r="G16" s="2" t="inlineStr">
        <is>
          <t>Journal article</t>
        </is>
      </c>
      <c r="H16" s="2" t="inlineStr">
        <is>
          <t>Future Internet</t>
        </is>
      </c>
      <c r="I16" s="2" t="inlineStr">
        <is>
          <t>10.3390/fi16060188</t>
        </is>
      </c>
      <c r="J16" s="2" t="inlineStr">
        <is>
          <t>Scopus</t>
        </is>
      </c>
      <c r="K16" s="2" t="inlineStr">
        <is>
          <t>B1</t>
        </is>
      </c>
      <c r="L16" s="2" t="inlineStr">
        <is>
          <t>Evaluate the correctness and quality of LLM-generated code on university exam problems.</t>
        </is>
      </c>
      <c r="M16" s="2" t="inlineStr">
        <is>
          <t>Concern about functional and non-functional quality of generated code.</t>
        </is>
      </c>
      <c r="N16" s="2" t="inlineStr">
        <is>
          <t>Higher education: Java Programming exams, University of Insubria.</t>
        </is>
      </c>
      <c r="O16" s="2" t="inlineStr">
        <is>
          <t>Evaluation with human test suites, quality metrics, and expert supervision.</t>
        </is>
      </c>
      <c r="P16" s="2" t="inlineStr">
        <is>
          <t>Three LLMs.</t>
        </is>
      </c>
      <c r="Q16" s="2" t="inlineStr">
        <is>
          <t>Experimental (quantitative and qualitative).</t>
        </is>
      </c>
      <c r="R16" s="2" t="inlineStr">
        <is>
          <t>3 complex university exam problems.</t>
        </is>
      </c>
      <c r="S16" s="2" t="inlineStr">
        <is>
          <t>SonarQube, SonarCloud; human test suites.</t>
        </is>
      </c>
      <c r="T16" s="2" t="inlineStr">
        <is>
          <t>Quality, readability, and maintainability (SonarQube), cyclomatic complexity, LOC, number of methods.</t>
        </is>
      </c>
      <c r="U16" s="2" t="inlineStr">
        <is>
          <t>The three LLMs solved the exams only under constant expert supervision; LLM engines need human-expert support to produce running code of good quality.</t>
        </is>
      </c>
      <c r="V16" s="2" t="inlineStr">
        <is>
          <t>Very small sample (three problems); single course; low discrimination between LLMs.</t>
        </is>
      </c>
      <c r="W16" s="2" t="inlineStr">
        <is>
          <t>More problems and contexts; systematic integration of supervision.</t>
        </is>
      </c>
      <c r="X16" s="2" t="inlineStr">
        <is>
          <t>SQ5: HEI evidence; validates SonarQube/CC in the classroom (SQ4).</t>
        </is>
      </c>
      <c r="Y16" s="2" t="inlineStr">
        <is>
          <t>SQ5</t>
        </is>
      </c>
      <c r="Z16" s="2" t="inlineStr">
        <is>
          <t>Empirical (university)</t>
        </is>
      </c>
      <c r="AA16" s="2" t="inlineStr">
        <is>
          <t>AI code quality needs human-expert support</t>
        </is>
      </c>
      <c r="AB16" s="5">
        <f>INDEX(S5_Quality!$I$2:$I$37,MATCH(A16,S5_Quality!$A$2:$A$37,0))</f>
        <v/>
      </c>
      <c r="AC16" s="5">
        <f>INDEX(S5_Quality!$J$2:$J$37,MATCH(A16,S5_Quality!$A$2:$A$37,0))</f>
        <v/>
      </c>
    </row>
    <row r="17">
      <c r="A17" s="2" t="inlineStr">
        <is>
          <t>A057</t>
        </is>
      </c>
      <c r="B17" s="2" t="inlineStr">
        <is>
          <t>A057_Sun2026</t>
        </is>
      </c>
      <c r="C17" s="2" t="inlineStr">
        <is>
          <t>main</t>
        </is>
      </c>
      <c r="D17" s="2" t="inlineStr">
        <is>
          <t>Sun et al.</t>
        </is>
      </c>
      <c r="E17" s="2" t="inlineStr">
        <is>
          <t>2026</t>
        </is>
      </c>
      <c r="F17" s="2" t="inlineStr">
        <is>
          <t>Quality assurance of LLM-generated code: Addressing non-functional quality characteristics</t>
        </is>
      </c>
      <c r="G17" s="2" t="inlineStr">
        <is>
          <t>Journal article</t>
        </is>
      </c>
      <c r="H17" s="2" t="inlineStr">
        <is>
          <t>Journal of Systems and Software</t>
        </is>
      </c>
      <c r="I17" s="2" t="inlineStr">
        <is>
          <t>10.1016/j.jss.2026.112885</t>
        </is>
      </c>
      <c r="J17" s="2" t="inlineStr">
        <is>
          <t>Scopus</t>
        </is>
      </c>
      <c r="K17" s="2" t="inlineStr">
        <is>
          <t>B1</t>
        </is>
      </c>
      <c r="L17" s="2" t="inlineStr">
        <is>
          <t>Understand how non-functional quality characteristics (NFQC) of LLM-generated code are conceptualized, prioritized, and manifested in real software engineering.</t>
        </is>
      </c>
      <c r="M17" s="2" t="inlineStr">
        <is>
          <t>Evaluations focus on functional correctness; NFQC such as maintainability, security, and efficiency are poorly understood.</t>
        </is>
      </c>
      <c r="N17" s="2" t="inlineStr">
        <is>
          <t>Industrial (Software Center companies, automotive, CI/CD) and global academic literature; repository-level code.</t>
        </is>
      </c>
      <c r="O17" s="2" t="inlineStr">
        <is>
          <t>Multi-method study framed by ISO/IEC 25010: SLR of 109 papers, two industrial workshops (15 participants, 7 organizations), and an empirical patching study with NFQC-specific prompts.</t>
        </is>
      </c>
      <c r="P17" s="2" t="inlineStr">
        <is>
          <t>LLM patches (GPT-4o, DeepSeek-Reasoner, Claude 4 Sonnet) vs. human gold patches; baseline vs. NFQC-optimized prompts.</t>
        </is>
      </c>
      <c r="Q17" s="2" t="inlineStr">
        <is>
          <t>Multi-method (review, workshops, experiment).</t>
        </is>
      </c>
      <c r="R17" s="2" t="inlineStr">
        <is>
          <t>SLR of 109 papers; SWE-bench Lite (300 issues, 11 Python repositories; common subset of 17 resolved).</t>
        </is>
      </c>
      <c r="S17" s="2" t="inlineStr">
        <is>
          <t>SWE-agent; CodeQL (39 maintainability and 46 security queries); Docker.</t>
        </is>
      </c>
      <c r="T17" s="2" t="inlineStr">
        <is>
          <t>CodeQL issues by severity, added LOC, runtime, memory, resolution rate.</t>
        </is>
      </c>
      <c r="U17" s="2" t="inlineStr">
        <is>
          <t>LLM patches trigger over 400 maintainability recommendations per model (414-423) vs. 30 for the gold patches; cyclic-import findings 360-365 vs. 0; 4-6 error-level security findings vs. 2; NFQC optimization via prompts is unstable; practitioners warn that generated code accelerates technical-debt accumulation.</t>
        </is>
      </c>
      <c r="V17" s="2" t="inlineStr">
        <is>
          <t>Small empirical subset (n = 17); framework bias; only instances resolved by all three models; CodeQL covers part of maintainability.</t>
        </is>
      </c>
      <c r="W17" s="2" t="inlineStr">
        <is>
          <t>Integrating QA gates and structured feedback into the generation pipeline to reduce TD before deployment.</t>
        </is>
      </c>
      <c r="X17" s="2" t="inlineStr">
        <is>
          <t>SQ1: strongest empirical evidence of non-functional AI-TD; also shows instability of prompt-based optimization (SQ3).</t>
        </is>
      </c>
      <c r="Y17" s="2" t="inlineStr">
        <is>
          <t>SQ1</t>
        </is>
      </c>
      <c r="Z17" s="2" t="inlineStr">
        <is>
          <t>Multi-method, ISO/IEC 25010</t>
        </is>
      </c>
      <c r="AA17" s="2" t="inlineStr">
        <is>
          <t>LLM code accelerates TD; non-functional-quality prompting unstable</t>
        </is>
      </c>
      <c r="AB17" s="5">
        <f>INDEX(S5_Quality!$I$2:$I$37,MATCH(A17,S5_Quality!$A$2:$A$37,0))</f>
        <v/>
      </c>
      <c r="AC17" s="5">
        <f>INDEX(S5_Quality!$J$2:$J$37,MATCH(A17,S5_Quality!$A$2:$A$37,0))</f>
        <v/>
      </c>
    </row>
    <row r="18">
      <c r="A18" s="2" t="inlineStr">
        <is>
          <t>A058</t>
        </is>
      </c>
      <c r="B18" s="2" t="inlineStr">
        <is>
          <t>A058_Karabiyik2025</t>
        </is>
      </c>
      <c r="C18" s="2" t="inlineStr">
        <is>
          <t>main</t>
        </is>
      </c>
      <c r="D18" s="2" t="inlineStr">
        <is>
          <t>Karabiyik</t>
        </is>
      </c>
      <c r="E18" s="2" t="inlineStr">
        <is>
          <t>2025</t>
        </is>
      </c>
      <c r="F18" s="2" t="inlineStr">
        <is>
          <t>RefactorGPT: a ChatGPT-based multi-agent framework for automated code refactoring</t>
        </is>
      </c>
      <c r="G18" s="2" t="inlineStr">
        <is>
          <t>Journal article</t>
        </is>
      </c>
      <c r="H18" s="2" t="inlineStr">
        <is>
          <t>PeerJ Computer Science</t>
        </is>
      </c>
      <c r="I18" s="2" t="inlineStr">
        <is>
          <t>10.7717/peerj-cs.3257</t>
        </is>
      </c>
      <c r="J18" s="2" t="inlineStr">
        <is>
          <t>Scopus</t>
        </is>
      </c>
      <c r="K18" s="2" t="inlineStr">
        <is>
          <t>B1</t>
        </is>
      </c>
      <c r="L18" s="2" t="inlineStr">
        <is>
          <t>Determine whether a ChatGPT-based multi-agent framework can perform modular, explainable, scalable refactoring.</t>
        </is>
      </c>
      <c r="M18" s="2" t="inlineStr">
        <is>
          <t>Single-step monolithic prompting limits transparency, control, and correctness guarantees.</t>
        </is>
      </c>
      <c r="N18" s="2" t="inlineStr">
        <is>
          <t>Refactoring of Java and Python code.</t>
        </is>
      </c>
      <c r="O18" s="2" t="inlineStr">
        <is>
          <t>RefactorGPT: four sequential agents (analyser, refactorer, refiner, fixer) with autonomous error recovery.</t>
        </is>
      </c>
      <c r="P18" s="2" t="inlineStr">
        <is>
          <t>Against single-step monolithic prompting.</t>
        </is>
      </c>
      <c r="Q18" s="2" t="inlineStr">
        <is>
          <t>Framework proposal with evaluation.</t>
        </is>
      </c>
      <c r="R18" s="2" t="inlineStr">
        <is>
          <t>9 refactoring techniques × 3 complexity levels (27 samples).</t>
        </is>
      </c>
      <c r="S18" s="2" t="inlineStr">
        <is>
          <t>ChatGPT (four agents); structural-metric tools.</t>
        </is>
      </c>
      <c r="T18" s="2" t="inlineStr">
        <is>
          <t>Average cyclomatic complexity, LOC, function/token count, execution time, memory.</t>
        </is>
      </c>
      <c r="U18" s="2" t="inlineStr">
        <is>
          <t>Consistent improvements in modularity, readability, and decomposition; complete execution correctness through autonomous recovery; agent decomposition outperforms the monolithic prompt.</t>
        </is>
      </c>
      <c r="V18" s="2" t="inlineStr">
        <is>
          <t>Small, artificial dataset (27 samples); no SonarQube or MI; modest complexity values.</t>
        </is>
      </c>
      <c r="W18" s="2" t="inlineStr">
        <is>
          <t>Validation on real systems; standard metrics (SonarQube, MI).</t>
        </is>
      </c>
      <c r="X18" s="2" t="inlineStr">
        <is>
          <t>SQ3: automated refactoring as reactive mitigation; structured decomposition outperforms monolithic prompting.</t>
        </is>
      </c>
      <c r="Y18" s="2" t="inlineStr">
        <is>
          <t>SQ3</t>
        </is>
      </c>
      <c r="Z18" s="2" t="inlineStr">
        <is>
          <t>Multi-agent framework</t>
        </is>
      </c>
      <c r="AA18" s="2" t="inlineStr">
        <is>
          <t>RefactorGPT automated refactoring (Python)</t>
        </is>
      </c>
      <c r="AB18" s="5">
        <f>INDEX(S5_Quality!$I$2:$I$37,MATCH(A18,S5_Quality!$A$2:$A$37,0))</f>
        <v/>
      </c>
      <c r="AC18" s="5">
        <f>INDEX(S5_Quality!$J$2:$J$37,MATCH(A18,S5_Quality!$A$2:$A$37,0))</f>
        <v/>
      </c>
    </row>
    <row r="19">
      <c r="A19" s="2" t="inlineStr">
        <is>
          <t>A061</t>
        </is>
      </c>
      <c r="B19" s="2" t="inlineStr">
        <is>
          <t>A061_Tkachuk2025</t>
        </is>
      </c>
      <c r="C19" s="2" t="inlineStr">
        <is>
          <t>main</t>
        </is>
      </c>
      <c r="D19" s="2" t="inlineStr">
        <is>
          <t>Tkachuk</t>
        </is>
      </c>
      <c r="E19" s="2" t="inlineStr">
        <is>
          <t>2025</t>
        </is>
      </c>
      <c r="F19" s="2" t="inlineStr">
        <is>
          <t>DETERMINING THE CAPABILITIES OF GENERATIVE ARTIFICIAL INTELLIGENCE TOOLS TO INCREASE THE EFFICIENCY OF REFACTORING PROCESS</t>
        </is>
      </c>
      <c r="G19" s="2" t="inlineStr">
        <is>
          <t>Journal article</t>
        </is>
      </c>
      <c r="H19" s="2" t="inlineStr">
        <is>
          <t>Technology Audit and Production Reserves</t>
        </is>
      </c>
      <c r="I19" s="2" t="inlineStr">
        <is>
          <t>10.15587/2706-5448.2025.326899</t>
        </is>
      </c>
      <c r="J19" s="2" t="inlineStr">
        <is>
          <t>Scopus</t>
        </is>
      </c>
      <c r="K19" s="2" t="inlineStr">
        <is>
          <t>B1</t>
        </is>
      </c>
      <c r="L19" s="2" t="inlineStr">
        <is>
          <t>Determine the capabilities of GenAI tools to improve refactoring efficiency.</t>
        </is>
      </c>
      <c r="M19" s="2" t="inlineStr">
        <is>
          <t>Limitations of rule-based refactoring tools; GenAI as an alternative.</t>
        </is>
      </c>
      <c r="N19" s="2" t="inlineStr">
        <is>
          <t>Refactoring tasks (code smells, decoupling, large-scale changes).</t>
        </is>
      </c>
      <c r="O19" s="2" t="inlineStr">
        <is>
          <t>Experiential comparison of GenAI tools on refactoring tasks.</t>
        </is>
      </c>
      <c r="P19" s="2" t="inlineStr">
        <is>
          <t>ChatGPT, Copilot, Gemini, Claude.</t>
        </is>
      </c>
      <c r="Q19" s="2" t="inlineStr">
        <is>
          <t>Experiential experimental study (methodology thinly reported).</t>
        </is>
      </c>
      <c r="R19" s="2" t="inlineStr">
        <is>
          <t>Individual examples per task (n not specified).</t>
        </is>
      </c>
      <c r="S19" s="2" t="inlineStr">
        <is>
          <t>ChatGPT, Copilot, Gemini, Claude.</t>
        </is>
      </c>
      <c r="T19" s="2" t="inlineStr">
        <is>
          <t>Success rate per task (author's criterion).</t>
        </is>
      </c>
      <c r="U19" s="2" t="inlineStr">
        <is>
          <t>Claude 78.8% &gt; ChatGPT 76.6% &gt; Copilot 72.8% &gt; Gemini 61.8%; human supervision remains essential.</t>
        </is>
      </c>
      <c r="V19" s="2" t="inlineStr">
        <is>
          <t>Experiential methodology without statistical rigor; no static-analysis tool.</t>
        </is>
      </c>
      <c r="W19" s="2" t="inlineStr">
        <is>
          <t>Rigorous methods for evaluating AI-assisted refactoring.</t>
        </is>
      </c>
      <c r="X19" s="2" t="inlineStr">
        <is>
          <t>SQ3 (weak support): comparison of GenAI tools for refactoring.</t>
        </is>
      </c>
      <c r="Y19" s="2" t="inlineStr">
        <is>
          <t>SQ3</t>
        </is>
      </c>
      <c r="Z19" s="2" t="inlineStr">
        <is>
          <t>Comparison (4 GenAI tools)</t>
        </is>
      </c>
      <c r="AA19" s="2" t="inlineStr">
        <is>
          <t>Refactoring: Claude 78.8% (QA band M)</t>
        </is>
      </c>
      <c r="AB19" s="5">
        <f>INDEX(S5_Quality!$I$2:$I$37,MATCH(A19,S5_Quality!$A$2:$A$37,0))</f>
        <v/>
      </c>
      <c r="AC19" s="5">
        <f>INDEX(S5_Quality!$J$2:$J$37,MATCH(A19,S5_Quality!$A$2:$A$37,0))</f>
        <v/>
      </c>
    </row>
    <row r="20">
      <c r="A20" s="2" t="inlineStr">
        <is>
          <t>A069</t>
        </is>
      </c>
      <c r="B20" s="2" t="inlineStr">
        <is>
          <t>A069_Althani2026</t>
        </is>
      </c>
      <c r="C20" s="2" t="inlineStr">
        <is>
          <t>main</t>
        </is>
      </c>
      <c r="D20" s="2" t="inlineStr">
        <is>
          <t>Althani</t>
        </is>
      </c>
      <c r="E20" s="2" t="inlineStr">
        <is>
          <t>2026</t>
        </is>
      </c>
      <c r="F20" s="2" t="inlineStr">
        <is>
          <t>A Multi-Objective Statistical Framework for Evaluating LLM-Based Code Modernization: Transformation Pattern Analysis and Effect Size Validation</t>
        </is>
      </c>
      <c r="G20" s="2" t="inlineStr">
        <is>
          <t>Journal article</t>
        </is>
      </c>
      <c r="H20" s="2" t="inlineStr">
        <is>
          <t>Computers</t>
        </is>
      </c>
      <c r="I20" s="2" t="inlineStr">
        <is>
          <t>10.3390/computers15030148</t>
        </is>
      </c>
      <c r="J20" s="2" t="inlineStr">
        <is>
          <t>Scopus</t>
        </is>
      </c>
      <c r="K20" s="2" t="inlineStr">
        <is>
          <t>B2</t>
        </is>
      </c>
      <c r="L20" s="2" t="inlineStr">
        <is>
          <t>Determine whether a multi-objective framework can rigorously evaluate LLM-based modernization of legacy code.</t>
        </is>
      </c>
      <c r="M20" s="2" t="inlineStr">
        <is>
          <t>Single-metric evaluations, validation without effect sizes, and no taxonomy of transformations.</t>
        </is>
      </c>
      <c r="N20" s="2" t="inlineStr">
        <is>
          <t>Modernization of legacy enterprise Java code; MIS department (business school).</t>
        </is>
      </c>
      <c r="O20" s="2" t="inlineStr">
        <is>
          <t>Multi-objective framework with a weighted composite score (MI + CC + function length), effect sizes, and a taxonomy of transformation patterns and failure modes.</t>
        </is>
      </c>
      <c r="P20" s="2" t="inlineStr">
        <is>
          <t>Original vs. modernized code; single-pass vs. iterative refinement.</t>
        </is>
      </c>
      <c r="Q20" s="2" t="inlineStr">
        <is>
          <t>Experimental with statistical rigor.</t>
        </is>
      </c>
      <c r="R20" s="2" t="inlineStr">
        <is>
          <t>47 samples from Apache Ant 1.10.14.</t>
        </is>
      </c>
      <c r="S20" s="2" t="inlineStr">
        <is>
          <t>CodeLlama-7b; Lizard (CC).</t>
        </is>
      </c>
      <c r="T20" s="2" t="inlineStr">
        <is>
          <t>Maintainability Index, cyclomatic complexity, function length; paired t-tests, Wilcoxon, Cohen's d with 95% CI.</t>
        </is>
      </c>
      <c r="U20" s="2" t="inlineStr">
        <is>
          <t>97.9% metric-level improvement (d = 1.86, 95% CI [1.36, 2.35], p &lt; 0.0001); four successful patterns and three failure modes (kappa = 0.82); iterative refinement adds nothing (d = 0.08).</t>
        </is>
      </c>
      <c r="V20" s="2" t="inlineStr">
        <is>
          <t>Java/Apache Ant only; functional equivalence not validated by tests (20% manual); one model; N = 47.</t>
        </is>
      </c>
      <c r="W20" s="2" t="inlineStr">
        <is>
          <t>Test-based functional equivalence; multiple languages and models.</t>
        </is>
      </c>
      <c r="X20" s="2" t="inlineStr">
        <is>
          <t>SQ4: weighted multi-metric composite as a direct precedent for composite debt measurement; also a modernization strategy (SQ3).</t>
        </is>
      </c>
      <c r="Y20" s="2" t="inlineStr">
        <is>
          <t>SQ4</t>
        </is>
      </c>
      <c r="Z20" s="2" t="inlineStr">
        <is>
          <t>Multi-objective (CC + MI)</t>
        </is>
      </c>
      <c r="AA20" s="2" t="inlineStr">
        <is>
          <t>Legacy modernization, very large effect; iter. refinement ≈ 0</t>
        </is>
      </c>
      <c r="AB20" s="5">
        <f>INDEX(S5_Quality!$I$2:$I$37,MATCH(A20,S5_Quality!$A$2:$A$37,0))</f>
        <v/>
      </c>
      <c r="AC20" s="5">
        <f>INDEX(S5_Quality!$J$2:$J$37,MATCH(A20,S5_Quality!$A$2:$A$37,0))</f>
        <v/>
      </c>
    </row>
    <row r="21">
      <c r="A21" s="2" t="inlineStr">
        <is>
          <t>A070</t>
        </is>
      </c>
      <c r="B21" s="2" t="inlineStr">
        <is>
          <t>A070_ArcelliFontana2025</t>
        </is>
      </c>
      <c r="C21" s="2" t="inlineStr">
        <is>
          <t>main</t>
        </is>
      </c>
      <c r="D21" s="2" t="inlineStr">
        <is>
          <t>Arcelli Fontana et al.</t>
        </is>
      </c>
      <c r="E21" s="2" t="inlineStr">
        <is>
          <t>2025</t>
        </is>
      </c>
      <c r="F21" s="2" t="inlineStr">
        <is>
          <t>Binary and multi-class classification of Self-Admitted Technical Debt: How far can we go?</t>
        </is>
      </c>
      <c r="G21" s="2" t="inlineStr">
        <is>
          <t>Journal article</t>
        </is>
      </c>
      <c r="H21" s="2" t="inlineStr">
        <is>
          <t>Information and Software Technology</t>
        </is>
      </c>
      <c r="I21" s="2" t="inlineStr">
        <is>
          <t>10.1016/j.infsof.2025.107862</t>
        </is>
      </c>
      <c r="J21" s="2" t="inlineStr">
        <is>
          <t>Scopus</t>
        </is>
      </c>
      <c r="K21" s="2" t="inlineStr">
        <is>
          <t>B2</t>
        </is>
      </c>
      <c r="L21" s="2" t="inlineStr">
        <is>
          <t>Establish how far the literature addresses binary and multi-class SATD classification, and how LLMs can improve it.</t>
        </is>
      </c>
      <c r="M21" s="2" t="inlineStr">
        <is>
          <t>Multi-class SATD classification is under-explored.</t>
        </is>
      </c>
      <c r="N21" s="2" t="inlineStr">
        <is>
          <t>Open-source Java projects (classic SATD datasets).</t>
        </is>
      </c>
      <c r="O21" s="2" t="inlineStr">
        <is>
          <t>Literature review plus SALA, a dual detector based on a fine-tuned LLM (LLaMA-2).</t>
        </is>
      </c>
      <c r="P21" s="2" t="inlineStr">
        <is>
          <t>SALA vs. DebtHunter, PILOT, GNNSI, SATD-LN, SCGRU and others.</t>
        </is>
      </c>
      <c r="Q21" s="2" t="inlineStr">
        <is>
          <t>Mixed (review and empirical evaluation).</t>
        </is>
      </c>
      <c r="R21" s="2" t="inlineStr">
        <is>
          <t>27 reviewed studies; Maldonado datasets (Apache Ant, ArgoUML, Columba, etc.), 80/20 split.</t>
        </is>
      </c>
      <c r="S21" s="2" t="inlineStr">
        <is>
          <t>Fine-tuned LLaMA-2; NLP and neural networks.</t>
        </is>
      </c>
      <c r="T21" s="2" t="inlineStr">
        <is>
          <t>Precision, recall, F1 (SATD F1 = 0.912 vs. 0.785 for the best baselines).</t>
        </is>
      </c>
      <c r="U21" s="2" t="inlineStr">
        <is>
          <t>Binary classification is well studied but multi-class is not (18 of 27 studies binary only); SALA outperforms the state of the art; LLMs require fine-tuning.</t>
        </is>
      </c>
      <c r="V21" s="2" t="inlineStr">
        <is>
          <t>SATD limited to debt declared in comments; Java datasets, not LLM code; costly fine-tuning.</t>
        </is>
      </c>
      <c r="W21" s="2" t="inlineStr">
        <is>
          <t>Multi-class classification; LLM fine-tuning and prompting potential.</t>
        </is>
      </c>
      <c r="X21" s="2" t="inlineStr">
        <is>
          <t>SQ4: state of the art in SATD detection as a debt-measurement component; SATD taxonomy (SQ1).</t>
        </is>
      </c>
      <c r="Y21" s="2" t="inlineStr">
        <is>
          <t>SQ4</t>
        </is>
      </c>
      <c r="Z21" s="2" t="inlineStr">
        <is>
          <t>NLP + LLM (SATD)</t>
        </is>
      </c>
      <c r="AA21" s="2" t="inlineStr">
        <is>
          <t>Binary/multi-class SATD; multi-class gap</t>
        </is>
      </c>
      <c r="AB21" s="5">
        <f>INDEX(S5_Quality!$I$2:$I$37,MATCH(A21,S5_Quality!$A$2:$A$37,0))</f>
        <v/>
      </c>
      <c r="AC21" s="5">
        <f>INDEX(S5_Quality!$J$2:$J$37,MATCH(A21,S5_Quality!$A$2:$A$37,0))</f>
        <v/>
      </c>
    </row>
    <row r="22">
      <c r="A22" s="2" t="inlineStr">
        <is>
          <t>A074</t>
        </is>
      </c>
      <c r="B22" s="2" t="inlineStr">
        <is>
          <t>A074_Kuanyshev2026</t>
        </is>
      </c>
      <c r="C22" s="2" t="inlineStr">
        <is>
          <t>main</t>
        </is>
      </c>
      <c r="D22" s="2" t="inlineStr">
        <is>
          <t>Kuanyshev &amp; Ali</t>
        </is>
      </c>
      <c r="E22" s="2" t="inlineStr">
        <is>
          <t>2026</t>
        </is>
      </c>
      <c r="F22" s="2" t="inlineStr">
        <is>
          <t>Constrained LLM-Guided Refactoring of JavaScript: A Smell-Targeted Transformation Framework with Human-in-the-Loop Validation</t>
        </is>
      </c>
      <c r="G22" s="2" t="inlineStr">
        <is>
          <t>Journal article</t>
        </is>
      </c>
      <c r="H22" s="2" t="inlineStr">
        <is>
          <t>Computers, Materials and Continua</t>
        </is>
      </c>
      <c r="I22" s="2" t="inlineStr">
        <is>
          <t>10.32604/cmc.2026.080737</t>
        </is>
      </c>
      <c r="J22" s="2" t="inlineStr">
        <is>
          <t>Scopus</t>
        </is>
      </c>
      <c r="K22" s="2" t="inlineStr">
        <is>
          <t>B2</t>
        </is>
      </c>
      <c r="L22" s="2" t="inlineStr">
        <is>
          <t>Determine whether a smell-targeted, scope-bound framework can reliably detect and refactor JavaScript smells.</t>
        </is>
      </c>
      <c r="M22" s="2" t="inlineStr">
        <is>
          <t>Unconstrained LLM generation has uncontrolled scope, inconsistent output, and weak traceability.</t>
        </is>
      </c>
      <c r="N22" s="2" t="inlineStr">
        <is>
          <t>JavaScript; code-smell refactoring.</t>
        </is>
      </c>
      <c r="O22" s="2" t="inlineStr">
        <is>
          <t>Constrained refactoring: deterministic AST detection plus constrained LLM transformation; structured output contract (code + rationale per smell) with artifact logging; human-in-the-loop validation.</t>
        </is>
      </c>
      <c r="P22" s="2" t="inlineStr">
        <is>
          <t>Against monolithic prompting; temperature study.</t>
        </is>
      </c>
      <c r="Q22" s="2" t="inlineStr">
        <is>
          <t>Framework proposal with empirical evaluation (microservice prototype).</t>
        </is>
      </c>
      <c r="R22" s="2" t="inlineStr">
        <is>
          <t>LeetCode-style solutions and multiple real GitHub repositories.</t>
        </is>
      </c>
      <c r="S22" s="2" t="inlineStr">
        <is>
          <t>Constrained LLM (optimal temperature about 0.4); AST detection; microservice architecture.</t>
        </is>
      </c>
      <c r="T22" s="2" t="inlineStr">
        <is>
          <t>Smell reduction, Maintainability Index, developer acceptance rate.</t>
        </is>
      </c>
      <c r="U22" s="2" t="inlineStr">
        <is>
          <t>Smell reduction 83.96%, MI +5.366, acceptance 91.66% (about 95% at temperature 0.4); explicit scope control and structured traceability are central to reliable, reviewable LLM refactoring.</t>
        </is>
      </c>
      <c r="V22" s="2" t="inlineStr">
        <is>
          <t>JavaScript only; refactoring of existing code (reactive); prototype; validation by acceptance.</t>
        </is>
      </c>
      <c r="W22" s="2" t="inlineStr">
        <is>
          <t>Integration with automated validation (tests, linting); repository-conditioned policies.</t>
        </is>
      </c>
      <c r="X22" s="2" t="inlineStr">
        <is>
          <t>SQ2: constraint- and traceability-based structuring of LLM work, though applied reactively to existing code.</t>
        </is>
      </c>
      <c r="Y22" s="2" t="inlineStr">
        <is>
          <t>SQ2</t>
        </is>
      </c>
      <c r="Z22" s="2" t="inlineStr">
        <is>
          <t>Constrained LLM refactoring</t>
        </is>
      </c>
      <c r="AA22" s="2" t="inlineStr">
        <is>
          <t>JS smell-targeted; MI +5.366; reactive</t>
        </is>
      </c>
      <c r="AB22" s="5">
        <f>INDEX(S5_Quality!$I$2:$I$37,MATCH(A22,S5_Quality!$A$2:$A$37,0))</f>
        <v/>
      </c>
      <c r="AC22" s="5">
        <f>INDEX(S5_Quality!$J$2:$J$37,MATCH(A22,S5_Quality!$A$2:$A$37,0))</f>
        <v/>
      </c>
    </row>
    <row r="23">
      <c r="A23" s="2" t="inlineStr">
        <is>
          <t>A090</t>
        </is>
      </c>
      <c r="B23" s="2" t="inlineStr">
        <is>
          <t>A090_Simon2026</t>
        </is>
      </c>
      <c r="C23" s="2" t="inlineStr">
        <is>
          <t>main</t>
        </is>
      </c>
      <c r="D23" s="2" t="inlineStr">
        <is>
          <t>Simon et al.</t>
        </is>
      </c>
      <c r="E23" s="2" t="inlineStr">
        <is>
          <t>2026</t>
        </is>
      </c>
      <c r="F23" s="2" t="inlineStr">
        <is>
          <t>Automated detection of algorithm debt in deep learning frameworks: an empirical study</t>
        </is>
      </c>
      <c r="G23" s="2" t="inlineStr">
        <is>
          <t>Journal article</t>
        </is>
      </c>
      <c r="H23" s="2" t="inlineStr">
        <is>
          <t>Empirical Software Engineering</t>
        </is>
      </c>
      <c r="I23" s="2" t="inlineStr">
        <is>
          <t>10.1007/s10664-026-10807-5</t>
        </is>
      </c>
      <c r="J23" s="2" t="inlineStr">
        <is>
          <t>Scopus</t>
        </is>
      </c>
      <c r="K23" s="2" t="inlineStr">
        <is>
          <t>B2</t>
        </is>
      </c>
      <c r="L23" s="2" t="inlineStr">
        <is>
          <t>Automatically detect algorithm debt (AD) in deep-learning frameworks from SATD.</t>
        </is>
      </c>
      <c r="M23" s="2" t="inlineStr">
        <is>
          <t>Algorithm debt in DL frameworks is under-explored and confused with design/implementation debt.</t>
        </is>
      </c>
      <c r="N23" s="2" t="inlineStr">
        <is>
          <t>Open-source deep-learning frameworks (TensorFlow, PyTorch, Caffe and others).</t>
        </is>
      </c>
      <c r="O23" s="2" t="inlineStr">
        <is>
          <t>ML/DL classifiers with handcrafted features to detect AD in SATD comments.</t>
        </is>
      </c>
      <c r="P23" s="2" t="inlineStr">
        <is>
          <t>Logistic regression with custom AD features vs. other ML/DL models and exploratory GPT-4.</t>
        </is>
      </c>
      <c r="Q23" s="2" t="inlineStr">
        <is>
          <t>Empirical (classification).</t>
        </is>
      </c>
      <c r="R23" s="2" t="inlineStr">
        <is>
          <t>38,881 SATD comments from 7 DL frameworks.</t>
        </is>
      </c>
      <c r="S23" s="2" t="inlineStr">
        <is>
          <t>LR, RF, SVM, CNN, GAN; embeddings; GPT-4.</t>
        </is>
      </c>
      <c r="T23" s="2" t="inlineStr">
        <is>
          <t>F1, precision, recall (best AD F1 = 54%).</t>
        </is>
      </c>
      <c r="U23" s="2" t="inlineStr">
        <is>
          <t>Provides a definition of algorithm debt (sub-optimal implementation that degrades performance, affecting the computational core, distinct from structural/syntactic debt); detection remains hard (F1 = 54%).</t>
        </is>
      </c>
      <c r="V23" s="2" t="inlineStr">
        <is>
          <t>DL-framework domain differs from LLM-generated IS code; empirical results not transferable.</t>
        </is>
      </c>
      <c r="W23" s="2" t="inlineStr">
        <is>
          <t>Generalisable AD features; inclusion of source code; conceptual overlaps between TD types.</t>
        </is>
      </c>
      <c r="X23" s="2" t="inlineStr">
        <is>
          <t>SQ1 (conceptual only): definition of the algorithm-debt dimension; empirical results not used.</t>
        </is>
      </c>
      <c r="Y23" s="2" t="inlineStr">
        <is>
          <t>SQ1</t>
        </is>
      </c>
      <c r="Z23" s="2" t="inlineStr">
        <is>
          <t>Empirical (38,881 SATD, DL)</t>
        </is>
      </c>
      <c r="AA23" s="2" t="inlineStr">
        <is>
          <t>Algorithm debt in DL frameworks (context caveat)</t>
        </is>
      </c>
      <c r="AB23" s="5">
        <f>INDEX(S5_Quality!$I$2:$I$37,MATCH(A23,S5_Quality!$A$2:$A$37,0))</f>
        <v/>
      </c>
      <c r="AC23" s="5">
        <f>INDEX(S5_Quality!$J$2:$J$37,MATCH(A23,S5_Quality!$A$2:$A$37,0))</f>
        <v/>
      </c>
    </row>
    <row r="24">
      <c r="A24" s="2" t="inlineStr">
        <is>
          <t>A096</t>
        </is>
      </c>
      <c r="B24" s="2" t="inlineStr">
        <is>
          <t>A096_Lyu2025</t>
        </is>
      </c>
      <c r="C24" s="2" t="inlineStr">
        <is>
          <t>main</t>
        </is>
      </c>
      <c r="D24" s="2" t="inlineStr">
        <is>
          <t>Lyu et al.</t>
        </is>
      </c>
      <c r="E24" s="2" t="inlineStr">
        <is>
          <t>2025</t>
        </is>
      </c>
      <c r="F24" s="2" t="inlineStr">
        <is>
          <t>Automatic Programming: Large Language Models and Beyond</t>
        </is>
      </c>
      <c r="G24" s="2" t="inlineStr">
        <is>
          <t>Journal article (survey/perspective)</t>
        </is>
      </c>
      <c r="H24" s="2" t="inlineStr">
        <is>
          <t>ACM Transactions on Software Engineering and Methodology</t>
        </is>
      </c>
      <c r="I24" s="2" t="inlineStr">
        <is>
          <t>10.1145/3708519</t>
        </is>
      </c>
      <c r="J24" s="2" t="inlineStr">
        <is>
          <t>Scopus</t>
        </is>
      </c>
      <c r="K24" s="2" t="inlineStr">
        <is>
          <t>B1</t>
        </is>
      </c>
      <c r="L24" s="2" t="inlineStr">
        <is>
          <t>Study automatic programming (LLMs and program repair) and the trust/assurance problems of auto-generated code.</t>
        </is>
      </c>
      <c r="M24" s="2" t="inlineStr">
        <is>
          <t>When can auto-generated code be trusted for integration; tension between intent capture and formal specifications.</t>
        </is>
      </c>
      <c r="N24" s="2" t="inlineStr">
        <is>
          <t>General software engineering; future role of the programmer.</t>
        </is>
      </c>
      <c r="O24" s="2" t="inlineStr">
        <is>
          <t>Synthesis of program synthesis, automated program repair, and trust; prospective view to 2030.</t>
        </is>
      </c>
      <c r="P24" s="2" t="inlineStr">
        <is>
          <t>Synthesis and repair approaches (conceptual).</t>
        </is>
      </c>
      <c r="Q24" s="2" t="inlineStr">
        <is>
          <t>Literature review and perspective (survey).</t>
        </is>
      </c>
      <c r="R24" s="2" t="inlineStr">
        <is>
          <t>Representative literature (no primary data).</t>
        </is>
      </c>
      <c r="S24" s="2" t="inlineStr">
        <is>
          <t>LLMs, program repair (e.g., AutoCodeRover); formal specifications.</t>
        </is>
      </c>
      <c r="T24" s="2" t="inlineStr">
        <is>
          <t>None (conceptual).</t>
        </is>
      </c>
      <c r="U24" s="2" t="inlineStr">
        <is>
          <t>Trust in auto-generated code is the central problem; formal specifications enable verified code but engineers are reluctant to write them; repair and verification are routes to higher assurance; the programmer role shifts towards assured autonomy.</t>
        </is>
      </c>
      <c r="V24" s="2" t="inlineStr">
        <is>
          <t>Survey/perspective, not empirical; specifications discussed are formal/verification specifications.</t>
        </is>
      </c>
      <c r="W24" s="2" t="inlineStr">
        <is>
          <t>Generating verified code when specifications exist; future of assisted programming.</t>
        </is>
      </c>
      <c r="X24" s="2" t="inlineStr">
        <is>
          <t>SQ2 (conceptual framing): discusses the tension between trust in generated code and the effort of writing formal specifications. Not empirical evidence.</t>
        </is>
      </c>
      <c r="Y24" s="2" t="inlineStr">
        <is>
          <t>SQ2</t>
        </is>
      </c>
      <c r="Z24" s="2" t="inlineStr">
        <is>
          <t>Survey/overview</t>
        </is>
      </c>
      <c r="AA24" s="2" t="inlineStr">
        <is>
          <t>Automatic programming: LLMs and beyond</t>
        </is>
      </c>
      <c r="AB24" s="5">
        <f>INDEX(S5_Quality!$I$2:$I$37,MATCH(A24,S5_Quality!$A$2:$A$37,0))</f>
        <v/>
      </c>
      <c r="AC24" s="5">
        <f>INDEX(S5_Quality!$J$2:$J$37,MATCH(A24,S5_Quality!$A$2:$A$37,0))</f>
        <v/>
      </c>
    </row>
    <row r="25">
      <c r="A25" s="2" t="inlineStr">
        <is>
          <t>A100</t>
        </is>
      </c>
      <c r="B25" s="2" t="inlineStr">
        <is>
          <t>A100_Zeng2025</t>
        </is>
      </c>
      <c r="C25" s="2" t="inlineStr">
        <is>
          <t>main</t>
        </is>
      </c>
      <c r="D25" s="2" t="inlineStr">
        <is>
          <t>Zeng et al.</t>
        </is>
      </c>
      <c r="E25" s="2" t="inlineStr">
        <is>
          <t>2025</t>
        </is>
      </c>
      <c r="F25" s="2" t="inlineStr">
        <is>
          <t>Optimizing Large Language Models’ Performance in Software Development Tasks through Structured Prompts</t>
        </is>
      </c>
      <c r="G25" s="2" t="inlineStr">
        <is>
          <t>Journal article</t>
        </is>
      </c>
      <c r="H25" s="2" t="inlineStr">
        <is>
          <t>WSEAS Transactions on Computer Research</t>
        </is>
      </c>
      <c r="I25" s="2" t="inlineStr">
        <is>
          <t>10.37394/232018.2025.13.42</t>
        </is>
      </c>
      <c r="J25" s="2" t="inlineStr">
        <is>
          <t>Scopus</t>
        </is>
      </c>
      <c r="K25" s="2" t="inlineStr">
        <is>
          <t>B1</t>
        </is>
      </c>
      <c r="L25" s="2" t="inlineStr">
        <is>
          <t>Determine whether structured prompting improves code quality compared with direct prompting.</t>
        </is>
      </c>
      <c r="M25" s="2" t="inlineStr">
        <is>
          <t>Unstructured prompts yield fragmented, ambiguous responses; LLMs are poorly aligned with domain requirements.</t>
        </is>
      </c>
      <c r="N25" s="2" t="inlineStr">
        <is>
          <t>Software development; algorithmic tasks and practical scenarios.</t>
        </is>
      </c>
      <c r="O25" s="2" t="inlineStr">
        <is>
          <t>Structured prompting framework with three pre-generation templates (task context with input specifications and output expectations, code structure, quality assurance) and a tripartite strategy (task decomposition, contextual enrichment, iterative refinement).</t>
        </is>
      </c>
      <c r="P25" s="2" t="inlineStr">
        <is>
          <t>Structured vs. direct prompting.</t>
        </is>
      </c>
      <c r="Q25" s="2" t="inlineStr">
        <is>
          <t>Controlled experimental study.</t>
        </is>
      </c>
      <c r="R25" s="2" t="inlineStr">
        <is>
          <t>400 problems (300 LeetCode + 100 practical scenarios).</t>
        </is>
      </c>
      <c r="S25" s="2" t="inlineStr">
        <is>
          <t>GPT-3, BERT, T5.</t>
        </is>
      </c>
      <c r="T25" s="2" t="inlineStr">
        <is>
          <t>Code-quality score (cyclomatic complexity, readability, maintainability, time/space complexity); accuracy.</t>
        </is>
      </c>
      <c r="U25" s="2" t="inlineStr">
        <is>
          <t>Structured vs. direct prompting: +27.1% accuracy and +21.0% code quality; tripartite strategy 92.4% accuracy and 93.1% quality; readability +18.7%.</t>
        </is>
      </c>
      <c r="V25" s="2" t="inlineStr">
        <is>
          <t>Structure at prompt level, not a formal specification document; quality-score computation not transparent; algorithmic tasks.</t>
        </is>
      </c>
      <c r="W25" s="2" t="inlineStr">
        <is>
          <t>Scaling to real systems; formalizing structure beyond the prompt.</t>
        </is>
      </c>
      <c r="X25" s="2" t="inlineStr">
        <is>
          <t>SQ2: empirical evidence on structuring the prompt (input, output, quality) before generation.</t>
        </is>
      </c>
      <c r="Y25" s="2" t="inlineStr">
        <is>
          <t>SQ2</t>
        </is>
      </c>
      <c r="Z25" s="2" t="inlineStr">
        <is>
          <t>Empirical (400 tasks)</t>
        </is>
      </c>
      <c r="AA25" s="2" t="inlineStr">
        <is>
          <t>Structured prompts +21% quality</t>
        </is>
      </c>
      <c r="AB25" s="5">
        <f>INDEX(S5_Quality!$I$2:$I$37,MATCH(A25,S5_Quality!$A$2:$A$37,0))</f>
        <v/>
      </c>
      <c r="AC25" s="5">
        <f>INDEX(S5_Quality!$J$2:$J$37,MATCH(A25,S5_Quality!$A$2:$A$37,0))</f>
        <v/>
      </c>
    </row>
    <row r="26">
      <c r="A26" s="2" t="inlineStr">
        <is>
          <t>A101</t>
        </is>
      </c>
      <c r="B26" s="2" t="inlineStr">
        <is>
          <t>A101_Bhatnagar2026</t>
        </is>
      </c>
      <c r="C26" s="2" t="inlineStr">
        <is>
          <t>main</t>
        </is>
      </c>
      <c r="D26" s="2" t="inlineStr">
        <is>
          <t>Bhatnagar</t>
        </is>
      </c>
      <c r="E26" s="2" t="inlineStr">
        <is>
          <t>2026</t>
        </is>
      </c>
      <c r="F26" s="2" t="inlineStr">
        <is>
          <t>Modernization of enterprise payment infrastructure: A case study on LLM-assisted migration of legacy distributed systems</t>
        </is>
      </c>
      <c r="G26" s="2" t="inlineStr">
        <is>
          <t>Journal article</t>
        </is>
      </c>
      <c r="H26" s="2" t="inlineStr">
        <is>
          <t>Array</t>
        </is>
      </c>
      <c r="I26" s="2" t="inlineStr">
        <is>
          <t>10.1016/j.array.2026.100806</t>
        </is>
      </c>
      <c r="J26" s="2" t="inlineStr">
        <is>
          <t>Scopus</t>
        </is>
      </c>
      <c r="K26" s="2" t="inlineStr">
        <is>
          <t>B1</t>
        </is>
      </c>
      <c r="L26" s="2" t="inlineStr">
        <is>
          <t>Determine whether a human-in-the-loop framework with LLMs can reliably modernize mission-critical legacy infrastructure.</t>
        </is>
      </c>
      <c r="M26" s="2" t="inlineStr">
        <is>
          <t>Modernization of legacy financial IS is hindered by technical debt and architectural inertia.</t>
        </is>
      </c>
      <c r="N26" s="2" t="inlineStr">
        <is>
          <t>Enterprise payment infrastructure (PCI-compliant); real production system.</t>
        </is>
      </c>
      <c r="O26" s="2" t="inlineStr">
        <is>
          <t>Four-pillar HITL framework with a five-step workflow: AI proposals validated and refined under constraints; governance through strategic rollbacks.</t>
        </is>
      </c>
      <c r="P26" s="2" t="inlineStr">
        <is>
          <t>Against traditional manual refactoring benchmarks.</t>
        </is>
      </c>
      <c r="Q26" s="2" t="inlineStr">
        <is>
          <t>Industrial case study.</t>
        </is>
      </c>
      <c r="R26" s="2" t="inlineStr">
        <is>
          <t>15-year, 85,000-line C# monolith migrated to cloud-native; 10 cycles (N = 100) under peak load.</t>
        </is>
      </c>
      <c r="S26" s="2" t="inlineStr">
        <is>
          <t>LLM as thinking partner; GCP Cloud Run, AdonisJS.</t>
        </is>
      </c>
      <c r="T26" s="2" t="inlineStr">
        <is>
          <t>Change lead time, anomalous runtime events, latency.</t>
        </is>
      </c>
      <c r="U26" s="2" t="inlineStr">
        <is>
          <t>50% shorter lead time, 67% fewer anomalous events, 57% lower latency (p &lt; 0.001); LLMs work when integrated into a structured HITL framework.</t>
        </is>
      </c>
      <c r="V26" s="2" t="inlineStr">
        <is>
          <t>Single case (one system); financial domain; single author; operational metrics.</t>
        </is>
      </c>
      <c r="W26" s="2" t="inlineStr">
        <is>
          <t>Generalization to other domains; a replicable structured protocol.</t>
        </is>
      </c>
      <c r="X26" s="2" t="inlineStr">
        <is>
          <t>SQ3: structured, governed LLM use in legacy modernization; operational outcome measures (SQ4).</t>
        </is>
      </c>
      <c r="Y26" s="2" t="inlineStr">
        <is>
          <t>SQ3</t>
        </is>
      </c>
      <c r="Z26" s="2" t="inlineStr">
        <is>
          <t>Industrial case (C#, HITL)</t>
        </is>
      </c>
      <c r="AA26" s="2" t="inlineStr">
        <is>
          <t>Legacy migration; −67% anomalies, −57% latency</t>
        </is>
      </c>
      <c r="AB26" s="5">
        <f>INDEX(S5_Quality!$I$2:$I$37,MATCH(A26,S5_Quality!$A$2:$A$37,0))</f>
        <v/>
      </c>
      <c r="AC26" s="5">
        <f>INDEX(S5_Quality!$J$2:$J$37,MATCH(A26,S5_Quality!$A$2:$A$37,0))</f>
        <v/>
      </c>
    </row>
    <row r="27">
      <c r="A27" s="2" t="inlineStr">
        <is>
          <t>A106</t>
        </is>
      </c>
      <c r="B27" s="2" t="inlineStr">
        <is>
          <t>A106_Dolcetti2026</t>
        </is>
      </c>
      <c r="C27" s="2" t="inlineStr">
        <is>
          <t>main</t>
        </is>
      </c>
      <c r="D27" s="2" t="inlineStr">
        <is>
          <t>Dolcetti et al.</t>
        </is>
      </c>
      <c r="E27" s="2" t="inlineStr">
        <is>
          <t>2026</t>
        </is>
      </c>
      <c r="F27" s="2" t="inlineStr">
        <is>
          <t>Helping LLMs improve code generation using feedback from testing and static analysis</t>
        </is>
      </c>
      <c r="G27" s="2" t="inlineStr">
        <is>
          <t>Journal article</t>
        </is>
      </c>
      <c r="H27" s="2" t="inlineStr">
        <is>
          <t>Discover Artificial Intelligence</t>
        </is>
      </c>
      <c r="I27" s="2" t="inlineStr">
        <is>
          <t>10.1007/s44163-026-01009-5</t>
        </is>
      </c>
      <c r="J27" s="2" t="inlineStr">
        <is>
          <t>Scopus</t>
        </is>
      </c>
      <c r="K27" s="2" t="inlineStr">
        <is>
          <t>B1</t>
        </is>
      </c>
      <c r="L27" s="2" t="inlineStr">
        <is>
          <t>Evaluate the correctness and security of LLM code and the models' ability to self-improve with feedback.</t>
        </is>
      </c>
      <c r="M27" s="2" t="inlineStr">
        <is>
          <t>LLM code is often incorrect or insecure, and self-assessment ability is unknown.</t>
        </is>
      </c>
      <c r="N27" s="2" t="inlineStr">
        <is>
          <t>C language; MBPP-style tasks.</t>
        </is>
      </c>
      <c r="O27" s="2" t="inlineStr">
        <is>
          <t>Three-phase framework (generation, self-assessment, repair) using test and static-analysis feedback.</t>
        </is>
      </c>
      <c r="P27" s="2" t="inlineStr">
        <is>
          <t>Four LLMs; self-assessment vs. feedback-guided repair; self-preference.</t>
        </is>
      </c>
      <c r="Q27" s="2" t="inlineStr">
        <is>
          <t>Empirical (framework and evaluation).</t>
        </is>
      </c>
      <c r="R27" s="2" t="inlineStr">
        <is>
          <t>MBPP adapted to C: 89 tasks × 4 models = 356 files.</t>
        </is>
      </c>
      <c r="S27" s="2" t="inlineStr">
        <is>
          <t>Llama 3 8B/70B, Gemma 7B, Mixtral 8x7B; Infer; unit tests.</t>
        </is>
      </c>
      <c r="T27" s="2" t="inlineStr">
        <is>
          <t>Initial correctness, repair rate, vulnerabilities removed, self-preference.</t>
        </is>
      </c>
      <c r="U27" s="2" t="inlineStr">
        <is>
          <t>Initial correctness 46-65%; very low self-awareness of errors; with structured feedback models repair well (77% of vulnerabilities removed, best 89%); correctness up to 59%.</t>
        </is>
      </c>
      <c r="V27" s="2" t="inlineStr">
        <is>
          <t>C/MBPP small tasks; reactive; mid-size open models; one analyser.</t>
        </is>
      </c>
      <c r="W27" s="2" t="inlineStr">
        <is>
          <t>Integrating robust verification and validation steps into the generation process.</t>
        </is>
      </c>
      <c r="X27" s="2" t="inlineStr">
        <is>
          <t>SQ3: structured feedback-driven repair as mitigation; LLMs do not self-assess (SQ1).</t>
        </is>
      </c>
      <c r="Y27" s="2" t="inlineStr">
        <is>
          <t>SQ3</t>
        </is>
      </c>
      <c r="Z27" s="2" t="inlineStr">
        <is>
          <t>Static-analysis feedback</t>
        </is>
      </c>
      <c r="AA27" s="2" t="inlineStr">
        <is>
          <t>Structured feedback removes 77% (best 89%) vulns</t>
        </is>
      </c>
      <c r="AB27" s="5">
        <f>INDEX(S5_Quality!$I$2:$I$37,MATCH(A27,S5_Quality!$A$2:$A$37,0))</f>
        <v/>
      </c>
      <c r="AC27" s="5">
        <f>INDEX(S5_Quality!$J$2:$J$37,MATCH(A27,S5_Quality!$A$2:$A$37,0))</f>
        <v/>
      </c>
    </row>
    <row r="28">
      <c r="A28" s="2" t="inlineStr">
        <is>
          <t>A111</t>
        </is>
      </c>
      <c r="B28" s="2" t="inlineStr">
        <is>
          <t>A111_Moreschini2026</t>
        </is>
      </c>
      <c r="C28" s="2" t="inlineStr">
        <is>
          <t>main</t>
        </is>
      </c>
      <c r="D28" s="2" t="inlineStr">
        <is>
          <t>Moreschini et al.</t>
        </is>
      </c>
      <c r="E28" s="2" t="inlineStr">
        <is>
          <t>2026</t>
        </is>
      </c>
      <c r="F28" s="2" t="inlineStr">
        <is>
          <t>The Evolution of Technical Debt from DevOps to Generative AI: A multivocal literature review</t>
        </is>
      </c>
      <c r="G28" s="2" t="inlineStr">
        <is>
          <t>Journal article</t>
        </is>
      </c>
      <c r="H28" s="2" t="inlineStr">
        <is>
          <t>Journal of Systems and Software</t>
        </is>
      </c>
      <c r="I28" s="2" t="inlineStr">
        <is>
          <t>10.1016/j.jss.2025.112599</t>
        </is>
      </c>
      <c r="J28" s="2" t="inlineStr">
        <is>
          <t>Scopus</t>
        </is>
      </c>
      <c r="K28" s="2" t="inlineStr">
        <is>
          <t>B1</t>
        </is>
      </c>
      <c r="L28" s="2" t="inlineStr">
        <is>
          <t>Determine how technical-debt management must adapt to AI-enhanced development (SE4AI and AI4SE).</t>
        </is>
      </c>
      <c r="M28" s="2" t="inlineStr">
        <is>
          <t>Traditional TD frameworks do not address AI-driven development or new forms of debt.</t>
        </is>
      </c>
      <c r="N28" s="2" t="inlineStr">
        <is>
          <t>ML/GenAI systems; academic and industrial; global.</t>
        </is>
      </c>
      <c r="O28" s="2" t="inlineStr">
        <is>
          <t>Multivocal literature review; taxonomy of AI-TD types; MLOps evolving to SLMOps/AIOps as a response.</t>
        </is>
      </c>
      <c r="P28" s="2" t="inlineStr">
        <is>
          <t>White (academic) vs. grey (industry) literature.</t>
        </is>
      </c>
      <c r="Q28" s="2" t="inlineStr">
        <is>
          <t>Literature review (multivocal).</t>
        </is>
      </c>
      <c r="R28" s="2" t="inlineStr">
        <is>
          <t>61 primary sources.</t>
        </is>
      </c>
      <c r="S28" s="2" t="inlineStr">
        <is>
          <t>None (secondary study); discusses Copilot, ChatGPT, MLOps.</t>
        </is>
      </c>
      <c r="T28" s="2" t="inlineStr">
        <is>
          <t>None (taxonomic/conceptual).</t>
        </is>
      </c>
      <c r="U28" s="2" t="inlineStr">
        <is>
          <t>AI-driven tools introduce new forms of TD (transparency, reproducibility, maintainability, governance, prompt-related TD); traditional frameworks no longer suffice; continuous, automated management is needed.</t>
        </is>
      </c>
      <c r="V28" s="2" t="inlineStr">
        <is>
          <t>Secondary study without own data; ML/data focus; heterogeneous grey sources; security treated marginally.</t>
        </is>
      </c>
      <c r="W28" s="2" t="inlineStr">
        <is>
          <t>Prompt-related TD and SLMOps under-explored; lack of formalized strategies to manage GenAI debt.</t>
        </is>
      </c>
      <c r="X28" s="2" t="inlineStr">
        <is>
          <t>SQ1: taxonomy and evolution of AI-TD.</t>
        </is>
      </c>
      <c r="Y28" s="2" t="inlineStr">
        <is>
          <t>SQ1</t>
        </is>
      </c>
      <c r="Z28" s="2" t="inlineStr">
        <is>
          <t>Multivocal review</t>
        </is>
      </c>
      <c r="AA28" s="2" t="inlineStr">
        <is>
          <t>TD evolution DevOps-to-GenAI; new AI-TD categories</t>
        </is>
      </c>
      <c r="AB28" s="5">
        <f>INDEX(S5_Quality!$I$2:$I$37,MATCH(A28,S5_Quality!$A$2:$A$37,0))</f>
        <v/>
      </c>
      <c r="AC28" s="5">
        <f>INDEX(S5_Quality!$J$2:$J$37,MATCH(A28,S5_Quality!$A$2:$A$37,0))</f>
        <v/>
      </c>
    </row>
    <row r="29">
      <c r="A29" s="2" t="inlineStr">
        <is>
          <t>A113</t>
        </is>
      </c>
      <c r="B29" s="2" t="inlineStr">
        <is>
          <t>A113_Sagodi2024</t>
        </is>
      </c>
      <c r="C29" s="2" t="inlineStr">
        <is>
          <t>main</t>
        </is>
      </c>
      <c r="D29" s="2" t="inlineStr">
        <is>
          <t>Ságodi et al.</t>
        </is>
      </c>
      <c r="E29" s="2" t="inlineStr">
        <is>
          <t>2024</t>
        </is>
      </c>
      <c r="F29" s="2" t="inlineStr">
        <is>
          <t>Methodology for Code Synthesis Evaluation of LLMs Presented by a Case Study of ChatGPT and Copilot</t>
        </is>
      </c>
      <c r="G29" s="2" t="inlineStr">
        <is>
          <t>Journal article</t>
        </is>
      </c>
      <c r="H29" s="2" t="inlineStr">
        <is>
          <t>IEEE Access</t>
        </is>
      </c>
      <c r="I29" s="2" t="inlineStr">
        <is>
          <t>10.1109/access.2024.3403858</t>
        </is>
      </c>
      <c r="J29" s="2" t="inlineStr">
        <is>
          <t>Scopus</t>
        </is>
      </c>
      <c r="K29" s="2" t="inlineStr">
        <is>
          <t>B1</t>
        </is>
      </c>
      <c r="L29" s="2" t="inlineStr">
        <is>
          <t>Provide a methodology to compare LLMs on code synthesis (functional, non-functional, and human-perceived quality).</t>
        </is>
      </c>
      <c r="M29" s="2" t="inlineStr">
        <is>
          <t>No method to choose between LLMs by the quality of generated code.</t>
        </is>
      </c>
      <c r="N29" s="2" t="inlineStr">
        <is>
          <t>Algorithmic tasks; C++ and Java.</t>
        </is>
      </c>
      <c r="O29" s="2" t="inlineStr">
        <is>
          <t>Evaluation methodology (functional + static + human review) demonstrated with two models.</t>
        </is>
      </c>
      <c r="P29" s="2" t="inlineStr">
        <is>
          <t>ChatGPT vs. GitHub Copilot.</t>
        </is>
      </c>
      <c r="Q29" s="2" t="inlineStr">
        <is>
          <t>Experimental study and case study.</t>
        </is>
      </c>
      <c r="R29" s="2" t="inlineStr">
        <is>
          <t>Benchmark of 25 program-synthesis tasks.</t>
        </is>
      </c>
      <c r="S29" s="2" t="inlineStr">
        <is>
          <t>SonarQube 8.9, SonarScanner, SourceMeter; review by 5 + 5 developers.</t>
        </is>
      </c>
      <c r="T29" s="2" t="inlineStr">
        <is>
          <t>McCabe cyclomatic complexity, LLOC, NOS, NLE; code smells (major/minor); quality gates; perfect solutions.</t>
        </is>
      </c>
      <c r="U29" s="2" t="inlineStr">
        <is>
          <t>Both models produce mostly good-quality code passing SonarQube quality gates; ChatGPT 17 perfect solutions vs. Copilot 13; the most common smell is magic constants; developers accept the code conditionally.</t>
        </is>
      </c>
      <c r="V29" s="2" t="inlineStr">
        <is>
          <t>2021 benchmark (possible data leakage); 25 simple non-OOP tasks; outdated models.</t>
        </is>
      </c>
      <c r="W29" s="2" t="inlineStr">
        <is>
          <t>Evaluation on real systems rather than snippets.</t>
        </is>
      </c>
      <c r="X29" s="2" t="inlineStr">
        <is>
          <t>SQ1: code smells in LLM-synthesized code at small scale.</t>
        </is>
      </c>
      <c r="Y29" s="2" t="inlineStr">
        <is>
          <t>SQ1</t>
        </is>
      </c>
      <c r="Z29" s="2" t="inlineStr">
        <is>
          <t>Static analysis + human</t>
        </is>
      </c>
      <c r="AA29" s="2" t="inlineStr">
        <is>
          <t>Code smells in ChatGPT/Copilot synthesis</t>
        </is>
      </c>
      <c r="AB29" s="5">
        <f>INDEX(S5_Quality!$I$2:$I$37,MATCH(A29,S5_Quality!$A$2:$A$37,0))</f>
        <v/>
      </c>
      <c r="AC29" s="5">
        <f>INDEX(S5_Quality!$J$2:$J$37,MATCH(A29,S5_Quality!$A$2:$A$37,0))</f>
        <v/>
      </c>
    </row>
    <row r="30">
      <c r="A30" s="2" t="inlineStr">
        <is>
          <t>A117</t>
        </is>
      </c>
      <c r="B30" s="2" t="inlineStr">
        <is>
          <t>A117_Mejia2024</t>
        </is>
      </c>
      <c r="C30" s="2" t="inlineStr">
        <is>
          <t>main</t>
        </is>
      </c>
      <c r="D30" s="2" t="inlineStr">
        <is>
          <t>Mejía et al.</t>
        </is>
      </c>
      <c r="E30" s="2" t="inlineStr">
        <is>
          <t>2024</t>
        </is>
      </c>
      <c r="F30" s="2" t="inlineStr">
        <is>
          <t>VSEST 29110 Tool: Using ChatGPT to Evaluate the Implementation of the ISO/IEC 29110 Work Products</t>
        </is>
      </c>
      <c r="G30" s="2" t="inlineStr">
        <is>
          <t>Journal article</t>
        </is>
      </c>
      <c r="H30" s="2" t="inlineStr">
        <is>
          <t>IEEE Access</t>
        </is>
      </c>
      <c r="I30" s="2" t="inlineStr">
        <is>
          <t>10.1109/access.2024.3449252</t>
        </is>
      </c>
      <c r="J30" s="2" t="inlineStr">
        <is>
          <t>Scopus</t>
        </is>
      </c>
      <c r="K30" s="2" t="inlineStr">
        <is>
          <t>B1</t>
        </is>
      </c>
      <c r="L30" s="2" t="inlineStr">
        <is>
          <t>Evaluate the implementation of ISO/IEC 29110 work products with ChatGPT.</t>
        </is>
      </c>
      <c r="M30" s="2" t="inlineStr">
        <is>
          <t>Challenges of implementing ISO/IEC 29110 in very small entities (knowledge, resources, tools).</t>
        </is>
      </c>
      <c r="N30" s="2" t="inlineStr">
        <is>
          <t>Mexico; very small entities; ISO/IEC 29110.</t>
        </is>
      </c>
      <c r="O30" s="2" t="inlineStr">
        <is>
          <t>VSEST 29110: a tool that uses ChatGPT to evaluate compliance of work products (project management and software implementation).</t>
        </is>
      </c>
      <c r="P30" s="2" t="inlineStr">
        <is>
          <t>Tool feedback vs. auditor recommendations.</t>
        </is>
      </c>
      <c r="Q30" s="2" t="inlineStr">
        <is>
          <t>SLR, tool, and case study (document analysis).</t>
        </is>
      </c>
      <c r="R30" s="2" t="inlineStr">
        <is>
          <t>Case study of one ISO/IEC 29110-certified company (2020-2022).</t>
        </is>
      </c>
      <c r="S30" s="2" t="inlineStr">
        <is>
          <t>ChatGPT; ISO/IEC 29110.</t>
        </is>
      </c>
      <c r="T30" s="2" t="inlineStr">
        <is>
          <t>Compliance with standard criteria; impact relative to the auditor (69.33%).</t>
        </is>
      </c>
      <c r="U30" s="2" t="inlineStr">
        <is>
          <t>VSEST 29110 provides feedback comparable to an auditor (69.33% average impact) and addresses implementation challenges of the standard in small entities.</t>
        </is>
      </c>
      <c r="V30" s="2" t="inlineStr">
        <is>
          <t>Does not address AI-TD or generated code (process work products); small entities, not HEIs; single case.</t>
        </is>
      </c>
      <c r="W30" s="2" t="inlineStr">
        <is>
          <t>Tool support for standard implementation in small entities.</t>
        </is>
      </c>
      <c r="X30" s="2" t="inlineStr">
        <is>
          <t>SQ5 (contextual): Latin American application of LLMs to process standards rather than to AI-TD.</t>
        </is>
      </c>
      <c r="Y30" s="2" t="inlineStr">
        <is>
          <t>SQ5</t>
        </is>
      </c>
      <c r="Z30" s="2" t="inlineStr">
        <is>
          <t>Tool + ISO/IEC 29110</t>
        </is>
      </c>
      <c r="AA30" s="2" t="inlineStr">
        <is>
          <t>ChatGPT to evaluate 29110 work products (Mexico)</t>
        </is>
      </c>
      <c r="AB30" s="5">
        <f>INDEX(S5_Quality!$I$2:$I$37,MATCH(A30,S5_Quality!$A$2:$A$37,0))</f>
        <v/>
      </c>
      <c r="AC30" s="5">
        <f>INDEX(S5_Quality!$J$2:$J$37,MATCH(A30,S5_Quality!$A$2:$A$37,0))</f>
        <v/>
      </c>
    </row>
    <row r="31">
      <c r="A31" s="2" t="inlineStr">
        <is>
          <t>A126</t>
        </is>
      </c>
      <c r="B31" s="2" t="inlineStr">
        <is>
          <t>A126_Neyem2024</t>
        </is>
      </c>
      <c r="C31" s="2" t="inlineStr">
        <is>
          <t>main</t>
        </is>
      </c>
      <c r="D31" s="2" t="inlineStr">
        <is>
          <t>Neyem et al.</t>
        </is>
      </c>
      <c r="E31" s="2" t="inlineStr">
        <is>
          <t>2024</t>
        </is>
      </c>
      <c r="F31" s="2" t="inlineStr">
        <is>
          <t>Enhancing commit message quality in software capstone projects with generative AI</t>
        </is>
      </c>
      <c r="G31" s="2" t="inlineStr">
        <is>
          <t>Journal article (original software publication)</t>
        </is>
      </c>
      <c r="H31" s="2" t="inlineStr">
        <is>
          <t>SoftwareX</t>
        </is>
      </c>
      <c r="I31" s="2" t="inlineStr">
        <is>
          <t>10.1016/j.softx.2024.101947</t>
        </is>
      </c>
      <c r="J31" s="2" t="inlineStr">
        <is>
          <t>Scopus</t>
        </is>
      </c>
      <c r="K31" s="2" t="inlineStr">
        <is>
          <t>B1</t>
        </is>
      </c>
      <c r="L31" s="2" t="inlineStr">
        <is>
          <t>Determine whether a GenAI tool can improve the quality of capstone students' commit messages.</t>
        </is>
      </c>
      <c r="M31" s="2" t="inlineStr">
        <is>
          <t>Writing good commit messages is hard for novice developers and students.</t>
        </is>
      </c>
      <c r="N31" s="2" t="inlineStr">
        <is>
          <t>Pontificia Universidad Catolica de Chile; software-engineering capstone courses.</t>
        </is>
      </c>
      <c r="O31" s="2" t="inlineStr">
        <is>
          <t>LetsCommit: a tool suggesting commit messages with LLMs.</t>
        </is>
      </c>
      <c r="P31" s="2" t="inlineStr">
        <is>
          <t>Generated vs. reference messages (BLEU-4).</t>
        </is>
      </c>
      <c r="Q31" s="2" t="inlineStr">
        <is>
          <t>Tool paper with evaluation (UX survey and BLEU-4).</t>
        </is>
      </c>
      <c r="R31" s="2" t="inlineStr">
        <is>
          <t>Capstone students (UX survey); public MIT-licensed repository.</t>
        </is>
      </c>
      <c r="S31" s="2" t="inlineStr">
        <is>
          <t>GPT-3.5, GPT-4, LLaMA-2; Git.</t>
        </is>
      </c>
      <c r="T31" s="2" t="inlineStr">
        <is>
          <t>BLEU-4; satisfaction (UX survey).</t>
        </is>
      </c>
      <c r="U31" s="2" t="inlineStr">
        <is>
          <t>High satisfaction and potential for software-engineering education; commit-message quality varies with codebase evolution.</t>
        </is>
      </c>
      <c r="V31" s="2" t="inlineStr">
        <is>
          <t>Artefact is commit messages, not code or AI-TD; UX and BLEU-4 evaluation; single course.</t>
        </is>
      </c>
      <c r="W31" s="2" t="inlineStr">
        <is>
          <t>Broader application in future projects.</t>
        </is>
      </c>
      <c r="X31" s="2" t="inlineStr">
        <is>
          <t>SQ5: Latin American HEI activity with LLMs exists, but not on AI-TD.</t>
        </is>
      </c>
      <c r="Y31" s="2" t="inlineStr">
        <is>
          <t>SQ5</t>
        </is>
      </c>
      <c r="Z31" s="2" t="inlineStr">
        <is>
          <t>Capstone tool (PUC Chile)</t>
        </is>
      </c>
      <c r="AA31" s="2" t="inlineStr">
        <is>
          <t>GenAI commit-message quality (HEI, Latin America)</t>
        </is>
      </c>
      <c r="AB31" s="5">
        <f>INDEX(S5_Quality!$I$2:$I$37,MATCH(A31,S5_Quality!$A$2:$A$37,0))</f>
        <v/>
      </c>
      <c r="AC31" s="5">
        <f>INDEX(S5_Quality!$J$2:$J$37,MATCH(A31,S5_Quality!$A$2:$A$37,0))</f>
        <v/>
      </c>
    </row>
    <row r="32">
      <c r="A32" s="2" t="inlineStr">
        <is>
          <t>A127</t>
        </is>
      </c>
      <c r="B32" s="2" t="inlineStr">
        <is>
          <t>A127_Tony2025</t>
        </is>
      </c>
      <c r="C32" s="2" t="inlineStr">
        <is>
          <t>main</t>
        </is>
      </c>
      <c r="D32" s="2" t="inlineStr">
        <is>
          <t>Tony et al.</t>
        </is>
      </c>
      <c r="E32" s="2" t="inlineStr">
        <is>
          <t>2025</t>
        </is>
      </c>
      <c r="F32" s="2" t="inlineStr">
        <is>
          <t>Prompting Techniques for Secure Code Generation: A Systematic Investigation</t>
        </is>
      </c>
      <c r="G32" s="2" t="inlineStr">
        <is>
          <t>Journal article</t>
        </is>
      </c>
      <c r="H32" s="2" t="inlineStr">
        <is>
          <t>ACM Transactions on Software Engineering and Methodology</t>
        </is>
      </c>
      <c r="I32" s="2" t="inlineStr">
        <is>
          <t>10.1145/3722108</t>
        </is>
      </c>
      <c r="J32" s="2" t="inlineStr">
        <is>
          <t>Scopus</t>
        </is>
      </c>
      <c r="K32" s="2" t="inlineStr">
        <is>
          <t>B1</t>
        </is>
      </c>
      <c r="L32" s="2" t="inlineStr">
        <is>
          <t>Assess the impact of prompting techniques on the security of LLM-generated code.</t>
        </is>
      </c>
      <c r="M32" s="2" t="inlineStr">
        <is>
          <t>The relation between prompting strategies and secure code generation is poorly documented.</t>
        </is>
      </c>
      <c r="N32" s="2" t="inlineStr">
        <is>
          <t>Secure code generation; Python (and C).</t>
        </is>
      </c>
      <c r="O32" s="2" t="inlineStr">
        <is>
          <t>SLR (inventory of techniques, seven templates) and empirical evaluation of a subset including recursive criticism and improvement (RCI).</t>
        </is>
      </c>
      <c r="P32" s="2" t="inlineStr">
        <is>
          <t>Prompting techniques; GPT-3, GPT-3.5, GPT-4.</t>
        </is>
      </c>
      <c r="Q32" s="2" t="inlineStr">
        <is>
          <t>Mixed (SLR and experiment).</t>
        </is>
      </c>
      <c r="R32" s="2" t="inlineStr">
        <is>
          <t>150 security-relevant natural-language prompts.</t>
        </is>
      </c>
      <c r="S32" s="2" t="inlineStr">
        <is>
          <t>GPT-3, GPT-3.5, GPT-4; Bandit (primary), CodeQL (supplementary).</t>
        </is>
      </c>
      <c r="T32" s="2" t="inlineStr">
        <is>
          <t>Security weaknesses (CWE) detected; reduction per technique.</t>
        </is>
      </c>
      <c r="U32" s="2" t="inlineStr">
        <is>
          <t>LLM code contains many weaknesses (CWE-78/259/94/330); prompting techniques improve security, especially with GPT-4; RCI is the most promising; adding security specifications to prompts changes model behavior.</t>
        </is>
      </c>
      <c r="V32" s="2" t="inlineStr">
        <is>
          <t>Security domain, not maintainability; 150 prompts; Python focus; RCI requires iteration.</t>
        </is>
      </c>
      <c r="W32" s="2" t="inlineStr">
        <is>
          <t>Automatic adaptive prompting; integration with static analysis.</t>
        </is>
      </c>
      <c r="X32" s="2" t="inlineStr">
        <is>
          <t>SQ1: security debt as a dimension of AI-TD; prompting as mitigation (SQ3).</t>
        </is>
      </c>
      <c r="Y32" s="2" t="inlineStr">
        <is>
          <t>SQ1</t>
        </is>
      </c>
      <c r="Z32" s="2" t="inlineStr">
        <is>
          <t>SLR + evaluation (prompting)</t>
        </is>
      </c>
      <c r="AA32" s="2" t="inlineStr">
        <is>
          <t>Prompting reduces security weaknesses (RCI)</t>
        </is>
      </c>
      <c r="AB32" s="5">
        <f>INDEX(S5_Quality!$I$2:$I$37,MATCH(A32,S5_Quality!$A$2:$A$37,0))</f>
        <v/>
      </c>
      <c r="AC32" s="5">
        <f>INDEX(S5_Quality!$J$2:$J$37,MATCH(A32,S5_Quality!$A$2:$A$37,0))</f>
        <v/>
      </c>
    </row>
    <row r="33">
      <c r="A33" s="2" t="inlineStr">
        <is>
          <t>A131</t>
        </is>
      </c>
      <c r="B33" s="2" t="inlineStr">
        <is>
          <t>A131_MohammedSalih2025survey</t>
        </is>
      </c>
      <c r="C33" s="2" t="inlineStr">
        <is>
          <t>main</t>
        </is>
      </c>
      <c r="D33" s="2" t="inlineStr">
        <is>
          <t>Mohammed Salih &amp; Sarhan</t>
        </is>
      </c>
      <c r="E33" s="2" t="inlineStr">
        <is>
          <t>2025</t>
        </is>
      </c>
      <c r="F33" s="2" t="inlineStr">
        <is>
          <t>A Systematic Survey on Large Language Models for Static Code Analysis</t>
        </is>
      </c>
      <c r="G33" s="2" t="inlineStr">
        <is>
          <t>Journal article (survey)</t>
        </is>
      </c>
      <c r="H33" s="2" t="inlineStr">
        <is>
          <t>ARO-The Scientific Journal of Koya University</t>
        </is>
      </c>
      <c r="I33" s="2" t="inlineStr">
        <is>
          <t>10.14500/aro.12082</t>
        </is>
      </c>
      <c r="J33" s="2" t="inlineStr">
        <is>
          <t>Scopus</t>
        </is>
      </c>
      <c r="K33" s="2" t="inlineStr">
        <is>
          <t>B1</t>
        </is>
      </c>
      <c r="L33" s="2" t="inlineStr">
        <is>
          <t>Map the state of the art of LLMs for static code analysis (seven research questions).</t>
        </is>
      </c>
      <c r="M33" s="2" t="inlineStr">
        <is>
          <t>Few surveys examine LLMs specifically for static analysis.</t>
        </is>
      </c>
      <c r="N33" s="2" t="inlineStr">
        <is>
          <t>Static code analysis; global.</t>
        </is>
      </c>
      <c r="O33" s="2" t="inlineStr">
        <is>
          <t>Systematic survey with a taxonomy.</t>
        </is>
      </c>
      <c r="P33" s="2" t="inlineStr">
        <is>
          <t>Prompting strategies and tools across studies.</t>
        </is>
      </c>
      <c r="Q33" s="2" t="inlineStr">
        <is>
          <t>Literature review (systematic survey).</t>
        </is>
      </c>
      <c r="R33" s="2" t="inlineStr">
        <is>
          <t>Corpus of papers from major databases.</t>
        </is>
      </c>
      <c r="S33" s="2" t="inlineStr">
        <is>
          <t>Overview of ChatGPT and other models; catalog of tools and metrics.</t>
        </is>
      </c>
      <c r="T33" s="2" t="inlineStr">
        <is>
          <t>Catalogue of metrics used (cyclomatic and cognitive complexity, code smells, WMC, nesting) and prompting strategies.</t>
        </is>
      </c>
      <c r="U33" s="2" t="inlineStr">
        <is>
          <t>Structured prompting is the most used strategy (8 papers); seven challenges (non-determinism, hallucinations, scalability) and eight future directions identified.</t>
        </is>
      </c>
      <c r="V33" s="2" t="inlineStr">
        <is>
          <t>Secondary study; lower-impact venue; focus on detection, not generation.</t>
        </is>
      </c>
      <c r="W33" s="2" t="inlineStr">
        <is>
          <t>None of the eight future directions includes a preventive specification-driven protocol.</t>
        </is>
      </c>
      <c r="X33" s="2" t="inlineStr">
        <is>
          <t>SQ2: confirms structured prompting as dominant and the absence of preventive specification protocols in the research agenda.</t>
        </is>
      </c>
      <c r="Y33" s="2" t="inlineStr">
        <is>
          <t>SQ2</t>
        </is>
      </c>
      <c r="Z33" s="2" t="inlineStr">
        <is>
          <t>Systematic survey</t>
        </is>
      </c>
      <c r="AA33" s="2" t="inlineStr">
        <is>
          <t>LLMs for static analysis; no SDD prevention in agenda</t>
        </is>
      </c>
      <c r="AB33" s="5">
        <f>INDEX(S5_Quality!$I$2:$I$37,MATCH(A33,S5_Quality!$A$2:$A$37,0))</f>
        <v/>
      </c>
      <c r="AC33" s="5">
        <f>INDEX(S5_Quality!$J$2:$J$37,MATCH(A33,S5_Quality!$A$2:$A$37,0))</f>
        <v/>
      </c>
    </row>
    <row r="34">
      <c r="A34" s="2" t="inlineStr">
        <is>
          <t>C01</t>
        </is>
      </c>
      <c r="B34" s="2" t="inlineStr">
        <is>
          <t>C01_Newcomb2025</t>
        </is>
      </c>
      <c r="C34" s="2" t="inlineStr">
        <is>
          <t>complementary</t>
        </is>
      </c>
      <c r="D34" s="2" t="inlineStr">
        <is>
          <t>Newcomb et al.</t>
        </is>
      </c>
      <c r="E34" s="2" t="inlineStr">
        <is>
          <t>2025</t>
        </is>
      </c>
      <c r="F34" s="2" t="inlineStr">
        <is>
          <t>Preconditions and Postconditions as Design Constraints for LLM Code Generation</t>
        </is>
      </c>
      <c r="G34" s="2" t="inlineStr">
        <is>
          <t>Journal article</t>
        </is>
      </c>
      <c r="H34" s="2" t="inlineStr">
        <is>
          <t>IEEE Access</t>
        </is>
      </c>
      <c r="I34" s="2" t="inlineStr">
        <is>
          <t>10.1109/access.2025.3625819</t>
        </is>
      </c>
      <c r="J34" s="2" t="inlineStr">
        <is>
          <t>IEEE Xplore</t>
        </is>
      </c>
      <c r="K34" s="2" t="inlineStr">
        <is>
          <t>B11</t>
        </is>
      </c>
      <c r="L34" s="2" t="inlineStr"/>
      <c r="M34" s="2" t="inlineStr"/>
      <c r="N34" s="2" t="inlineStr"/>
      <c r="O34" s="2" t="inlineStr">
        <is>
          <t>Design-by-contract: explicit preconditions and postconditions as structured specification before generation; structured evaluation of six LLMs generating a medium-complexity system from class-level specifications, with vs. without design constraints.</t>
        </is>
      </c>
      <c r="P34" s="2" t="inlineStr">
        <is>
          <t>With vs. without design constraints; six LLMs.</t>
        </is>
      </c>
      <c r="Q34" s="2" t="inlineStr">
        <is>
          <t>Structured evaluation.</t>
        </is>
      </c>
      <c r="R34" s="2" t="inlineStr">
        <is>
          <t>Six LLMs; Python, C++, Java.</t>
        </is>
      </c>
      <c r="S34" s="2" t="inlineStr"/>
      <c r="T34" s="2" t="inlineStr">
        <is>
          <t>pass@k (pass@5, pass@10), compilation success rate, test success rate.</t>
        </is>
      </c>
      <c r="U34" s="2" t="inlineStr">
        <is>
          <t>Design constraints significantly increase generation accuracy (especially Python, also C++); smaller models benefit most.</t>
        </is>
      </c>
      <c r="V34" s="2" t="inlineStr">
        <is>
          <t>Maintainability and coupling are not measured (design rationale only); risk of dataset leakage.</t>
        </is>
      </c>
      <c r="W34" s="2" t="inlineStr"/>
      <c r="X34" s="2" t="inlineStr">
        <is>
          <t>SQ2: preventive specification before generation, measured on correctness (pass@k) rather than debt.</t>
        </is>
      </c>
      <c r="Y34" s="2" t="inlineStr">
        <is>
          <t>SQ2</t>
        </is>
      </c>
      <c r="Z34" s="2" t="inlineStr">
        <is>
          <t>Structured eval. (6 LLMs)</t>
        </is>
      </c>
      <c r="AA34" s="2" t="inlineStr">
        <is>
          <t>Design-by-contract raises generation accuracy</t>
        </is>
      </c>
      <c r="AB34" s="5">
        <f>INDEX(S5_Quality!$I$2:$I$37,MATCH(A34,S5_Quality!$A$2:$A$37,0))</f>
        <v/>
      </c>
      <c r="AC34" s="5">
        <f>INDEX(S5_Quality!$J$2:$J$37,MATCH(A34,S5_Quality!$A$2:$A$37,0))</f>
        <v/>
      </c>
    </row>
    <row r="35">
      <c r="A35" s="2" t="inlineStr">
        <is>
          <t>C02</t>
        </is>
      </c>
      <c r="B35" s="2" t="inlineStr">
        <is>
          <t>C02_Jin2026</t>
        </is>
      </c>
      <c r="C35" s="2" t="inlineStr">
        <is>
          <t>complementary</t>
        </is>
      </c>
      <c r="D35" s="2" t="inlineStr">
        <is>
          <t>Jin &amp; Chen</t>
        </is>
      </c>
      <c r="E35" s="2" t="inlineStr">
        <is>
          <t>2026</t>
        </is>
      </c>
      <c r="F35" s="2" t="inlineStr">
        <is>
          <t>Are LLMs reliable code reviewers? systematic overcorrection in requirement conformance judgement</t>
        </is>
      </c>
      <c r="G35" s="2" t="inlineStr">
        <is>
          <t>Journal article</t>
        </is>
      </c>
      <c r="H35" s="2" t="inlineStr">
        <is>
          <t>Automated Software Engineering</t>
        </is>
      </c>
      <c r="I35" s="2" t="inlineStr">
        <is>
          <t>10.1007/s10515-026-00638-5</t>
        </is>
      </c>
      <c r="J35" s="2" t="inlineStr">
        <is>
          <t>Scopus</t>
        </is>
      </c>
      <c r="K35" s="2" t="inlineStr">
        <is>
          <t>B13</t>
        </is>
      </c>
      <c r="L35" s="2" t="inlineStr"/>
      <c r="M35" s="2" t="inlineStr"/>
      <c r="N35" s="2" t="inlineStr"/>
      <c r="O35" s="2" t="inlineStr">
        <is>
          <t>Empirical evaluation of LLM-as-a-judge for code review and code-requirement conformance (without test cases) on benchmarks under three prompting approaches; proposes a fix-guided verification filter.</t>
        </is>
      </c>
      <c r="P35" s="2" t="inlineStr">
        <is>
          <t>Three prompting approaches.</t>
        </is>
      </c>
      <c r="Q35" s="2" t="inlineStr">
        <is>
          <t>Empirical evaluation on benchmarks.</t>
        </is>
      </c>
      <c r="R35" s="2" t="inlineStr">
        <is>
          <t>HumanEval+, MBPP, and other benchmarks.</t>
        </is>
      </c>
      <c r="S35" s="2" t="inlineStr"/>
      <c r="T35" s="2" t="inlineStr">
        <is>
          <t>Misjudgement rates (false negatives = over-correction; false positives = unsafe acceptance).</t>
        </is>
      </c>
      <c r="U35" s="2" t="inlineStr">
        <is>
          <t>LLMs misjudge correct code as defective (over-correction bias); more detailed prompts lead to more errors.</t>
        </is>
      </c>
      <c r="V35" s="2" t="inlineStr"/>
      <c r="W35" s="2" t="inlineStr"/>
      <c r="X35" s="2" t="inlineStr">
        <is>
          <t>SQ3: limits of LLM-based code review as a mitigation strategy; failure mode (SQ1).</t>
        </is>
      </c>
      <c r="Y35" s="2" t="inlineStr">
        <is>
          <t>SQ3</t>
        </is>
      </c>
      <c r="Z35" s="2" t="inlineStr">
        <is>
          <t>Benchmarks (HumanEval/MBPP)</t>
        </is>
      </c>
      <c r="AA35" s="2" t="inlineStr">
        <is>
          <t>LLM-reviewer over-correction; Fix-guided filter</t>
        </is>
      </c>
      <c r="AB35" s="5">
        <f>INDEX(S5_Quality!$I$2:$I$37,MATCH(A35,S5_Quality!$A$2:$A$37,0))</f>
        <v/>
      </c>
      <c r="AC35" s="5">
        <f>INDEX(S5_Quality!$J$2:$J$37,MATCH(A35,S5_Quality!$A$2:$A$37,0))</f>
        <v/>
      </c>
    </row>
    <row r="36">
      <c r="A36" s="2" t="inlineStr">
        <is>
          <t>C03</t>
        </is>
      </c>
      <c r="B36" s="2" t="inlineStr">
        <is>
          <t>C03_Expecto2026</t>
        </is>
      </c>
      <c r="C36" s="2" t="inlineStr">
        <is>
          <t>complementary</t>
        </is>
      </c>
      <c r="D36" s="2" t="inlineStr">
        <is>
          <t>Lee &amp; Heo</t>
        </is>
      </c>
      <c r="E36" s="2" t="inlineStr">
        <is>
          <t>2026</t>
        </is>
      </c>
      <c r="F36" s="2" t="inlineStr">
        <is>
          <t>Expecto: Extracting Formal Specifications from Natural Language Description for Trustworthy Oracles</t>
        </is>
      </c>
      <c r="G36" s="2" t="inlineStr">
        <is>
          <t>Journal article (PACMPL)</t>
        </is>
      </c>
      <c r="H36" s="2" t="inlineStr">
        <is>
          <t>Proceedings of the ACM on Programming Languages</t>
        </is>
      </c>
      <c r="I36" s="2" t="inlineStr">
        <is>
          <t>10.1145/3808332</t>
        </is>
      </c>
      <c r="J36" s="2" t="inlineStr">
        <is>
          <t>Scopus</t>
        </is>
      </c>
      <c r="K36" s="2" t="inlineStr">
        <is>
          <t>B11</t>
        </is>
      </c>
      <c r="L36" s="2" t="inlineStr"/>
      <c r="M36" s="2" t="inlineStr"/>
      <c r="N36" s="2" t="inlineStr"/>
      <c r="O36" s="2" t="inlineStr">
        <is>
          <t>Neuro-symbolic approach (LLM + program synthesis) that extracts trustworthy formal specifications in a DSL from natural-language intent, within specification-driven development; top-down, modular synthesis.</t>
        </is>
      </c>
      <c r="P36" s="2" t="inlineStr">
        <is>
          <t>Against a monolithic-LLM baseline.</t>
        </is>
      </c>
      <c r="Q36" s="2" t="inlineStr">
        <is>
          <t>Empirical evaluation (neuro-symbolic technique).</t>
        </is>
      </c>
      <c r="R36" s="2" t="inlineStr">
        <is>
          <t>HumanEval+, APPS, Defects4J.</t>
        </is>
      </c>
      <c r="S36" s="2" t="inlineStr"/>
      <c r="T36" s="2" t="inlineStr">
        <is>
          <t>Accuracy and robustness of extracted specifications; bugs detected using specifications as oracles.</t>
        </is>
      </c>
      <c r="U36" s="2" t="inlineStr">
        <is>
          <t>Extracts 3.0-7.0× more correct bug-detecting specifications than the baseline; outperforms the monolithic LLM.</t>
        </is>
      </c>
      <c r="V36" s="2" t="inlineStr"/>
      <c r="W36" s="2" t="inlineStr"/>
      <c r="X36" s="2" t="inlineStr">
        <is>
          <t>SQ2: specification-driven technique whose object is the extraction and verification of formal specifications, not technical debt.</t>
        </is>
      </c>
      <c r="Y36" s="2" t="inlineStr">
        <is>
          <t>SQ2</t>
        </is>
      </c>
      <c r="Z36" s="2" t="inlineStr">
        <is>
          <t>Neuro-symbolic (Defects4J)</t>
        </is>
      </c>
      <c r="AA36" s="2" t="inlineStr">
        <is>
          <t>Expecto: SDD formal-spec extraction; more bugs found</t>
        </is>
      </c>
      <c r="AB36" s="5">
        <f>INDEX(S5_Quality!$I$2:$I$37,MATCH(A36,S5_Quality!$A$2:$A$37,0))</f>
        <v/>
      </c>
      <c r="AC36" s="5">
        <f>INDEX(S5_Quality!$J$2:$J$37,MATCH(A36,S5_Quality!$A$2:$A$37,0))</f>
        <v/>
      </c>
    </row>
    <row r="37">
      <c r="A37" s="2" t="inlineStr">
        <is>
          <t>C04</t>
        </is>
      </c>
      <c r="B37" s="2" t="inlineStr">
        <is>
          <t>C04_Horvat2026</t>
        </is>
      </c>
      <c r="C37" s="2" t="inlineStr">
        <is>
          <t>complementary</t>
        </is>
      </c>
      <c r="D37" s="2" t="inlineStr">
        <is>
          <t>Horvat et al.</t>
        </is>
      </c>
      <c r="E37" s="2" t="inlineStr">
        <is>
          <t>2026</t>
        </is>
      </c>
      <c r="F37" s="2" t="inlineStr">
        <is>
          <t>Comparative Evaluation of Gemini and DeepSeek for LLM-Generated Code Quality and Architectural Robustness in Backend Software Engineering</t>
        </is>
      </c>
      <c r="G37" s="2" t="inlineStr">
        <is>
          <t>Journal article</t>
        </is>
      </c>
      <c r="H37" s="2" t="inlineStr">
        <is>
          <t>Electronics (Switzerland)</t>
        </is>
      </c>
      <c r="I37" s="2" t="inlineStr">
        <is>
          <t>10.3390/electronics15132805</t>
        </is>
      </c>
      <c r="J37" s="2" t="inlineStr">
        <is>
          <t>Scopus</t>
        </is>
      </c>
      <c r="K37" s="2" t="inlineStr">
        <is>
          <t>B13</t>
        </is>
      </c>
      <c r="L37" s="2" t="inlineStr"/>
      <c r="M37" s="2" t="inlineStr"/>
      <c r="N37" s="2" t="inlineStr"/>
      <c r="O37" s="2" t="inlineStr">
        <is>
          <t>Comparative empirical evaluation (Gemini 3 Pro vs. DeepSeek-V3.1) generating a Java/Spring Boot backend via structured prompt chaining (vibe coding).</t>
        </is>
      </c>
      <c r="P37" s="2" t="inlineStr">
        <is>
          <t>Gemini 3 Pro vs. DeepSeek-V3.1.</t>
        </is>
      </c>
      <c r="Q37" s="2" t="inlineStr">
        <is>
          <t>Comparative empirical evaluation.</t>
        </is>
      </c>
      <c r="R37" s="2" t="inlineStr">
        <is>
          <t>Java/Spring Boot backend generated by each model.</t>
        </is>
      </c>
      <c r="S37" s="2" t="inlineStr"/>
      <c r="T37" s="2" t="inlineStr">
        <is>
          <t>Manual corrections, functional correctness, architectural robustness (coupling: DTO vs. raw JPA), maintainability, latency, test quality/coverage, static code quality.</t>
        </is>
      </c>
      <c r="U37" s="2" t="inlineStr">
        <is>
          <t>Gemini: decoupled DTO architecture, 90.25% requirements met, 95.7% test success, 55.9% coverage; DeepSeek: raw JPA and tight coupling, 68.08%, 74.1%, 45.6%; both require expert supervision.</t>
        </is>
      </c>
      <c r="V37" s="2" t="inlineStr"/>
      <c r="W37" s="2" t="inlineStr"/>
      <c r="X37" s="2" t="inlineStr">
        <is>
          <t>SQ1: architectural debt in LLM code; comparison of models (SQ3); multi-dimensional measurement (SQ4).</t>
        </is>
      </c>
      <c r="Y37" s="2" t="inlineStr">
        <is>
          <t>SQ1, SQ3, SQ4</t>
        </is>
      </c>
      <c r="Z37" s="2" t="inlineStr">
        <is>
          <t>Empirical (Java/Spring Boot)</t>
        </is>
      </c>
      <c r="AA37" s="2" t="inlineStr">
        <is>
          <t>Vibe-coding: coupling &amp; coverage differ across models</t>
        </is>
      </c>
      <c r="AB37" s="5">
        <f>INDEX(S5_Quality!$I$2:$I$37,MATCH(A37,S5_Quality!$A$2:$A$37,0))</f>
        <v/>
      </c>
      <c r="AC37" s="5">
        <f>INDEX(S5_Quality!$J$2:$J$37,MATCH(A37,S5_Quality!$A$2:$A$37,0))</f>
        <v/>
      </c>
    </row>
  </sheetData>
  <autoFilter ref="A1:AC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3.4" customWidth="1" min="3" max="3"/>
    <col width="10" customWidth="1" min="4" max="4"/>
    <col width="60" customWidth="1" min="5" max="5"/>
    <col width="60" customWidth="1" min="6" max="6"/>
    <col width="29.7" customWidth="1" min="7" max="7"/>
    <col width="10" customWidth="1" min="8" max="8"/>
    <col width="11.7" customWidth="1" min="9" max="9"/>
    <col width="10" customWidth="1" min="10" max="10"/>
    <col width="60" customWidth="1" min="11" max="11"/>
  </cols>
  <sheetData>
    <row r="1">
      <c r="A1" s="3" t="inlineStr">
        <is>
          <t>n</t>
        </is>
      </c>
      <c r="B1" s="3" t="inlineStr">
        <is>
          <t>record_id</t>
        </is>
      </c>
      <c r="C1" s="3" t="inlineStr">
        <is>
          <t>first_author</t>
        </is>
      </c>
      <c r="D1" s="3" t="inlineStr">
        <is>
          <t>year</t>
        </is>
      </c>
      <c r="E1" s="3" t="inlineStr">
        <is>
          <t>title</t>
        </is>
      </c>
      <c r="F1" s="3" t="inlineStr">
        <is>
          <t>venue</t>
        </is>
      </c>
      <c r="G1" s="3" t="inlineStr">
        <is>
          <t>doi</t>
        </is>
      </c>
      <c r="H1" s="3" t="inlineStr">
        <is>
          <t>ta_decision</t>
        </is>
      </c>
      <c r="I1" s="3" t="inlineStr">
        <is>
          <t>ft_decision</t>
        </is>
      </c>
      <c r="J1" s="3" t="inlineStr">
        <is>
          <t>reason_code</t>
        </is>
      </c>
      <c r="K1" s="3" t="inlineStr">
        <is>
          <t>rationale</t>
        </is>
      </c>
    </row>
    <row r="2">
      <c r="A2" s="2" t="n">
        <v>1</v>
      </c>
      <c r="B2" s="2" t="inlineStr">
        <is>
          <t>A023</t>
        </is>
      </c>
      <c r="C2" s="2" t="inlineStr">
        <is>
          <t>Amos et al.</t>
        </is>
      </c>
      <c r="D2" s="2" t="inlineStr">
        <is>
          <t>2025</t>
        </is>
      </c>
      <c r="E2" s="2" t="inlineStr">
        <is>
          <t>A Bibliometric Exposition and Review on Leveraging LLMs for Programming Education</t>
        </is>
      </c>
      <c r="F2" s="2" t="inlineStr">
        <is>
          <t>IEEE Access</t>
        </is>
      </c>
      <c r="G2" s="2" t="inlineStr">
        <is>
          <t>10.1109/access.2025.3554627</t>
        </is>
      </c>
      <c r="H2" s="2" t="inlineStr">
        <is>
          <t>Maybe</t>
        </is>
      </c>
      <c r="I2" s="2" t="inlineStr">
        <is>
          <t>Exclude</t>
        </is>
      </c>
      <c r="J2" s="2" t="inlineStr">
        <is>
          <t>FT-E</t>
        </is>
      </c>
      <c r="K2" s="2" t="inlineStr">
        <is>
          <t>Bibliometric review of LLMs in programming education; pedagogical focus with no AI-TD or code-quality evidence.</t>
        </is>
      </c>
    </row>
    <row r="3">
      <c r="A3" s="2" t="n">
        <v>2</v>
      </c>
      <c r="B3" s="2" t="inlineStr">
        <is>
          <t>A024</t>
        </is>
      </c>
      <c r="C3" s="2" t="inlineStr">
        <is>
          <t>Kwon et al.</t>
        </is>
      </c>
      <c r="D3" s="2" t="inlineStr">
        <is>
          <t>2023</t>
        </is>
      </c>
      <c r="E3" s="2" t="inlineStr">
        <is>
          <t>Exploring LLM-Based Automated Repairing of Ansible Script in Edge-Cloud Infrastructures</t>
        </is>
      </c>
      <c r="F3" s="2" t="inlineStr">
        <is>
          <t>Journal of Web Engineering</t>
        </is>
      </c>
      <c r="G3" s="2" t="inlineStr">
        <is>
          <t>10.13052/jwe1540-9589.2263</t>
        </is>
      </c>
      <c r="H3" s="2" t="inlineStr">
        <is>
          <t>Exclude</t>
        </is>
      </c>
      <c r="I3" s="2" t="inlineStr">
        <is>
          <t>Not assessed</t>
        </is>
      </c>
      <c r="J3" s="2" t="inlineStr">
        <is>
          <t>E1c</t>
        </is>
      </c>
      <c r="K3" s="2" t="inlineStr">
        <is>
          <t>LLM-based repair of Ansible scripts in edge-cloud infrastructure-as-code; domain not transferable to institutional IS code.</t>
        </is>
      </c>
    </row>
    <row r="4">
      <c r="A4" s="2" t="n">
        <v>3</v>
      </c>
      <c r="B4" s="2" t="inlineStr">
        <is>
          <t>A025</t>
        </is>
      </c>
      <c r="C4" s="2" t="inlineStr">
        <is>
          <t>Yu et al.</t>
        </is>
      </c>
      <c r="D4" s="2" t="inlineStr">
        <is>
          <t>2026</t>
        </is>
      </c>
      <c r="E4" s="2" t="inlineStr">
        <is>
          <t>A Framework for Evaluating GenAI Adoption and Use in Software Engineering</t>
        </is>
      </c>
      <c r="F4" s="2" t="inlineStr">
        <is>
          <t>IEEE Transactions on Software Engineering</t>
        </is>
      </c>
      <c r="G4" s="2" t="inlineStr">
        <is>
          <t>10.1109/tse.2026.3688745</t>
        </is>
      </c>
      <c r="H4" s="2" t="inlineStr">
        <is>
          <t>Maybe</t>
        </is>
      </c>
      <c r="I4" s="2" t="inlineStr">
        <is>
          <t>Exclude</t>
        </is>
      </c>
      <c r="J4" s="2" t="inlineStr">
        <is>
          <t>FT-E</t>
        </is>
      </c>
      <c r="K4" s="2" t="inlineStr">
        <is>
          <t>Organizational governance framework for GenAI adoption quality (ISO/IEC 25059); process level, no AI-TD in generated code.</t>
        </is>
      </c>
    </row>
    <row r="5">
      <c r="A5" s="2" t="n">
        <v>4</v>
      </c>
      <c r="B5" s="2" t="inlineStr">
        <is>
          <t>A026</t>
        </is>
      </c>
      <c r="C5" s="2" t="inlineStr">
        <is>
          <t>Almanasra &amp; Suwais</t>
        </is>
      </c>
      <c r="D5" s="2" t="inlineStr">
        <is>
          <t>2025</t>
        </is>
      </c>
      <c r="E5" s="2" t="inlineStr">
        <is>
          <t>Analysis of ChatGPT-Generated Codes Across Multiple Programming Languages</t>
        </is>
      </c>
      <c r="F5" s="2" t="inlineStr">
        <is>
          <t>IEEE Access</t>
        </is>
      </c>
      <c r="G5" s="2" t="inlineStr">
        <is>
          <t>10.1109/access.2025.3538050</t>
        </is>
      </c>
      <c r="H5" s="2" t="inlineStr">
        <is>
          <t>Exclude</t>
        </is>
      </c>
      <c r="I5" s="2" t="inlineStr">
        <is>
          <t>Not assessed</t>
        </is>
      </c>
      <c r="J5" s="2" t="inlineStr">
        <is>
          <t>E1b</t>
        </is>
      </c>
      <c r="K5" s="2" t="inlineStr">
        <is>
          <t>ChatGPT-4o on LeetCode problems with runtime and memory metrics; functional performance only.</t>
        </is>
      </c>
    </row>
    <row r="6">
      <c r="A6" s="2" t="n">
        <v>5</v>
      </c>
      <c r="B6" s="2" t="inlineStr"/>
      <c r="C6" s="2" t="inlineStr">
        <is>
          <t>Umer</t>
        </is>
      </c>
      <c r="D6" s="2" t="inlineStr">
        <is>
          <t>2025</t>
        </is>
      </c>
      <c r="E6" s="2" t="inlineStr">
        <is>
          <t>Comparative Analysis of the Code Generated by Popular Large Language Models (LLMs) for MISRA C++ Compliance</t>
        </is>
      </c>
      <c r="F6" s="2" t="inlineStr">
        <is>
          <t>IEEE Access</t>
        </is>
      </c>
      <c r="G6" s="2" t="inlineStr">
        <is>
          <t>10.1109/access.2025.3633086</t>
        </is>
      </c>
      <c r="H6" s="2" t="inlineStr">
        <is>
          <t>Exclude</t>
        </is>
      </c>
      <c r="I6" s="2" t="inlineStr">
        <is>
          <t>Not assessed</t>
        </is>
      </c>
      <c r="J6" s="2" t="inlineStr">
        <is>
          <t>E1c</t>
        </is>
      </c>
      <c r="K6" s="2" t="inlineStr">
        <is>
          <t>MISRA C++ compliance of LLM code for avionics/safety-critical systems; domain-specific standards not transferable.</t>
        </is>
      </c>
    </row>
    <row r="7">
      <c r="A7" s="2" t="n">
        <v>6</v>
      </c>
      <c r="B7" s="2" t="inlineStr"/>
      <c r="C7" s="2" t="inlineStr">
        <is>
          <t>Vito et al.</t>
        </is>
      </c>
      <c r="D7" s="2" t="inlineStr">
        <is>
          <t>2025</t>
        </is>
      </c>
      <c r="E7" s="2" t="inlineStr">
        <is>
          <t>SecLLM: Enhancing Security Smell Detection in IaC With Large Language Models</t>
        </is>
      </c>
      <c r="F7" s="2" t="inlineStr">
        <is>
          <t>IEEE Access</t>
        </is>
      </c>
      <c r="G7" s="2" t="inlineStr">
        <is>
          <t>10.1109/access.2025.3637505</t>
        </is>
      </c>
      <c r="H7" s="2" t="inlineStr">
        <is>
          <t>Exclude</t>
        </is>
      </c>
      <c r="I7" s="2" t="inlineStr">
        <is>
          <t>Not assessed</t>
        </is>
      </c>
      <c r="J7" s="2" t="inlineStr">
        <is>
          <t>E1c</t>
        </is>
      </c>
      <c r="K7" s="2" t="inlineStr">
        <is>
          <t>LLMs as detectors of security smells in IaC scripts; inverse direction (LLM as detector) and cloud-infrastructure domain.</t>
        </is>
      </c>
    </row>
    <row r="8">
      <c r="A8" s="2" t="n">
        <v>7</v>
      </c>
      <c r="B8" s="2" t="inlineStr">
        <is>
          <t>A001</t>
        </is>
      </c>
      <c r="C8" s="2" t="inlineStr">
        <is>
          <t>Palla &amp; Slaby</t>
        </is>
      </c>
      <c r="D8" s="2" t="inlineStr">
        <is>
          <t>2025</t>
        </is>
      </c>
      <c r="E8" s="2" t="inlineStr">
        <is>
          <t>Evaluation of Generative AI Models in Python Code Generation: A Comparative Study</t>
        </is>
      </c>
      <c r="F8" s="2" t="inlineStr">
        <is>
          <t>IEEE Access</t>
        </is>
      </c>
      <c r="G8" s="2" t="inlineStr">
        <is>
          <t>10.1109/access.2025.3560244</t>
        </is>
      </c>
      <c r="H8" s="2" t="inlineStr">
        <is>
          <t>Exclude</t>
        </is>
      </c>
      <c r="I8" s="2" t="inlineStr">
        <is>
          <t>Not assessed</t>
        </is>
      </c>
      <c r="J8" s="2" t="inlineStr">
        <is>
          <t>E1b</t>
        </is>
      </c>
      <c r="K8" s="2" t="inlineStr">
        <is>
          <t>Comparative performance of LLMs in Python code generation (syntactic accuracy, cost); no technical-debt measurement.</t>
        </is>
      </c>
    </row>
    <row r="9">
      <c r="A9" s="2" t="n">
        <v>8</v>
      </c>
      <c r="B9" s="2" t="inlineStr">
        <is>
          <t>A002</t>
        </is>
      </c>
      <c r="C9" s="2" t="inlineStr">
        <is>
          <t>Patel et al.</t>
        </is>
      </c>
      <c r="D9" s="2" t="inlineStr">
        <is>
          <t>2026</t>
        </is>
      </c>
      <c r="E9" s="2" t="inlineStr">
        <is>
          <t>Code Comprehension Gaps in AI-Assisted Development: A Conceptual Framework for Knowledge Erosion Patterns</t>
        </is>
      </c>
      <c r="F9" s="2" t="inlineStr">
        <is>
          <t>IEEE Access</t>
        </is>
      </c>
      <c r="G9" s="2" t="inlineStr">
        <is>
          <t>10.1109/access.2026.3689574</t>
        </is>
      </c>
      <c r="H9" s="2" t="inlineStr">
        <is>
          <t>Include</t>
        </is>
      </c>
      <c r="I9" s="2" t="inlineStr">
        <is>
          <t>Include</t>
        </is>
      </c>
      <c r="J9" s="2" t="inlineStr">
        <is>
          <t>INC</t>
        </is>
      </c>
      <c r="K9" s="2" t="inlineStr">
        <is>
          <t>Conceptual taxonomy of knowledge-erosion patterns in AI-assisted code; no empirical validation (framing use).</t>
        </is>
      </c>
    </row>
    <row r="10">
      <c r="A10" s="2" t="n">
        <v>9</v>
      </c>
      <c r="B10" s="2" t="inlineStr">
        <is>
          <t>A003</t>
        </is>
      </c>
      <c r="C10" s="2" t="inlineStr">
        <is>
          <t>Meske et al.</t>
        </is>
      </c>
      <c r="D10" s="2" t="inlineStr">
        <is>
          <t>2025</t>
        </is>
      </c>
      <c r="E10" s="2" t="inlineStr">
        <is>
          <t>Vibe Coding as a Reconfiguration of Intent Mediation in Software Development: Definition, Implications, and Research Agenda</t>
        </is>
      </c>
      <c r="F10" s="2" t="inlineStr">
        <is>
          <t>IEEE Access</t>
        </is>
      </c>
      <c r="G10" s="2" t="inlineStr">
        <is>
          <t>10.1109/access.2025.3645466</t>
        </is>
      </c>
      <c r="H10" s="2" t="inlineStr">
        <is>
          <t>Maybe</t>
        </is>
      </c>
      <c r="I10" s="2" t="inlineStr">
        <is>
          <t>Include</t>
        </is>
      </c>
      <c r="J10" s="2" t="inlineStr">
        <is>
          <t>INC</t>
        </is>
      </c>
      <c r="K10" s="2" t="inlineStr">
        <is>
          <t>Defines vibe coding as a shift in intent mediation and names debt accumulation as a central risk; conceptual.</t>
        </is>
      </c>
    </row>
    <row r="11">
      <c r="A11" s="2" t="n">
        <v>10</v>
      </c>
      <c r="B11" s="2" t="inlineStr">
        <is>
          <t>A004</t>
        </is>
      </c>
      <c r="C11" s="2" t="inlineStr">
        <is>
          <t>Wang et al.</t>
        </is>
      </c>
      <c r="D11" s="2" t="inlineStr">
        <is>
          <t>2026</t>
        </is>
      </c>
      <c r="E11" s="2" t="inlineStr">
        <is>
          <t>SimBench: A Framework for Evaluating and Diagnosing LLM-Based Digital-Twin Generation for Multi-Physics Simulation</t>
        </is>
      </c>
      <c r="F11" s="2" t="inlineStr">
        <is>
          <t>IEEE Access</t>
        </is>
      </c>
      <c r="G11" s="2" t="inlineStr">
        <is>
          <t>10.1109/access.2026.3685519</t>
        </is>
      </c>
      <c r="H11" s="2" t="inlineStr">
        <is>
          <t>Exclude</t>
        </is>
      </c>
      <c r="I11" s="2" t="inlineStr">
        <is>
          <t>Not assessed</t>
        </is>
      </c>
      <c r="J11" s="2" t="inlineStr">
        <is>
          <t>E1c</t>
        </is>
      </c>
      <c r="K11" s="2" t="inlineStr">
        <is>
          <t>Benchmark of LLMs generating digital twins for physics simulators; unrelated domain and metrics.</t>
        </is>
      </c>
    </row>
    <row r="12">
      <c r="A12" s="2" t="n">
        <v>11</v>
      </c>
      <c r="B12" s="2" t="inlineStr">
        <is>
          <t>A005</t>
        </is>
      </c>
      <c r="C12" s="2" t="inlineStr">
        <is>
          <t>Ma et al.</t>
        </is>
      </c>
      <c r="D12" s="2" t="inlineStr">
        <is>
          <t>2025</t>
        </is>
      </c>
      <c r="E12" s="2" t="inlineStr">
        <is>
          <t>A Dual-Stage Framework for Behavior-Enhanced Automated Code Generation in Industrial-Scale Meta-Models</t>
        </is>
      </c>
      <c r="F12" s="2" t="inlineStr">
        <is>
          <t>IEEE Access</t>
        </is>
      </c>
      <c r="G12" s="2" t="inlineStr">
        <is>
          <t>10.1109/access.2025.3614174</t>
        </is>
      </c>
      <c r="H12" s="2" t="inlineStr">
        <is>
          <t>Exclude</t>
        </is>
      </c>
      <c r="I12" s="2" t="inlineStr">
        <is>
          <t>Not assessed</t>
        </is>
      </c>
      <c r="J12" s="2" t="inlineStr">
        <is>
          <t>E1c</t>
        </is>
      </c>
      <c r="K12" s="2" t="inlineStr">
        <is>
          <t>Code generation from industrial meta-models (AUTOSAR, OPC UA); automotive model-driven domain.</t>
        </is>
      </c>
    </row>
    <row r="13">
      <c r="A13" s="2" t="n">
        <v>12</v>
      </c>
      <c r="B13" s="2" t="inlineStr">
        <is>
          <t>A006</t>
        </is>
      </c>
      <c r="C13" s="2" t="inlineStr">
        <is>
          <t>Otoum &amp; Elkhalili</t>
        </is>
      </c>
      <c r="D13" s="2" t="inlineStr">
        <is>
          <t>2026</t>
        </is>
      </c>
      <c r="E13" s="2" t="inlineStr">
        <is>
          <t>Methods and Techniques of Agentic Software Engineering: A Systematic Literature Review</t>
        </is>
      </c>
      <c r="F13" s="2" t="inlineStr">
        <is>
          <t>IEEE Access</t>
        </is>
      </c>
      <c r="G13" s="2" t="inlineStr">
        <is>
          <t>10.1109/access.2026.3652325</t>
        </is>
      </c>
      <c r="H13" s="2" t="inlineStr">
        <is>
          <t>Exclude</t>
        </is>
      </c>
      <c r="I13" s="2" t="inlineStr">
        <is>
          <t>Not assessed</t>
        </is>
      </c>
      <c r="J13" s="2" t="inlineStr">
        <is>
          <t>E1a</t>
        </is>
      </c>
      <c r="K13" s="2" t="inlineStr">
        <is>
          <t>SLR on agentic software-engineering architectures; does not address AI-TD, specification, or IS success.</t>
        </is>
      </c>
    </row>
    <row r="14">
      <c r="A14" s="2" t="n">
        <v>13</v>
      </c>
      <c r="B14" s="2" t="inlineStr">
        <is>
          <t>A007</t>
        </is>
      </c>
      <c r="C14" s="2" t="inlineStr">
        <is>
          <t>Dubey &amp; Madisetti</t>
        </is>
      </c>
      <c r="D14" s="2" t="inlineStr">
        <is>
          <t>2026</t>
        </is>
      </c>
      <c r="E14" s="2" t="inlineStr">
        <is>
          <t>eXAI-CodeDebug: Towards Reliable, Trustworthy, and Explainable LLM-Based Coding for Production Systems</t>
        </is>
      </c>
      <c r="F14" s="2" t="inlineStr">
        <is>
          <t>Computing in Science &amp; Engineering</t>
        </is>
      </c>
      <c r="G14" s="2" t="inlineStr">
        <is>
          <t>10.1109/mcse.2026.3684488</t>
        </is>
      </c>
      <c r="H14" s="2" t="inlineStr">
        <is>
          <t>Include</t>
        </is>
      </c>
      <c r="I14" s="2" t="inlineStr">
        <is>
          <t>Include</t>
        </is>
      </c>
      <c r="J14" s="2" t="inlineStr">
        <is>
          <t>INC</t>
        </is>
      </c>
      <c r="K14" s="2" t="inlineStr">
        <is>
          <t>Hybrid static analysis + LLM framework detecting and fixing defects in AI-generated code (seven issue categories).</t>
        </is>
      </c>
    </row>
    <row r="15">
      <c r="A15" s="2" t="n">
        <v>14</v>
      </c>
      <c r="B15" s="2" t="inlineStr">
        <is>
          <t>A008</t>
        </is>
      </c>
      <c r="C15" s="2" t="inlineStr">
        <is>
          <t>Alabdullatif</t>
        </is>
      </c>
      <c r="D15" s="2" t="inlineStr">
        <is>
          <t>2026</t>
        </is>
      </c>
      <c r="E15" s="2" t="inlineStr">
        <is>
          <t>Security and Reliability of AI-Generated C++ Code: A Static Analysis Study Aligned With Saudi NCA Essential Cybersecurity Controls (ECC)</t>
        </is>
      </c>
      <c r="F15" s="2" t="inlineStr">
        <is>
          <t>IEEE Access</t>
        </is>
      </c>
      <c r="G15" s="2" t="inlineStr">
        <is>
          <t>10.1109/access.2026.3679355</t>
        </is>
      </c>
      <c r="H15" s="2" t="inlineStr">
        <is>
          <t>Include</t>
        </is>
      </c>
      <c r="I15" s="2" t="inlineStr">
        <is>
          <t>Include</t>
        </is>
      </c>
      <c r="J15" s="2" t="inlineStr">
        <is>
          <t>INC</t>
        </is>
      </c>
      <c r="K15" s="2" t="inlineStr">
        <is>
          <t>Static analysis (Cppcheck, Clang-Tidy, CWE) of AI-generated C++ code before and after prompt-based repair.</t>
        </is>
      </c>
    </row>
    <row r="16">
      <c r="A16" s="2" t="n">
        <v>15</v>
      </c>
      <c r="B16" s="2" t="inlineStr">
        <is>
          <t>A009</t>
        </is>
      </c>
      <c r="C16" s="2" t="inlineStr">
        <is>
          <t>Nettur et al.</t>
        </is>
      </c>
      <c r="D16" s="2" t="inlineStr">
        <is>
          <t>2025</t>
        </is>
      </c>
      <c r="E16" s="2" t="inlineStr">
        <is>
          <t>Cypress Copilot: Development of an AI Assistant for Boosting Productivity and Transforming Web Application Testing</t>
        </is>
      </c>
      <c r="F16" s="2" t="inlineStr">
        <is>
          <t>IEEE Access</t>
        </is>
      </c>
      <c r="G16" s="2" t="inlineStr">
        <is>
          <t>10.1109/access.2024.3521407</t>
        </is>
      </c>
      <c r="H16" s="2" t="inlineStr">
        <is>
          <t>Exclude</t>
        </is>
      </c>
      <c r="I16" s="2" t="inlineStr">
        <is>
          <t>Not assessed</t>
        </is>
      </c>
      <c r="J16" s="2" t="inlineStr">
        <is>
          <t>E1a</t>
        </is>
      </c>
      <c r="K16" s="2" t="inlineStr">
        <is>
          <t>Cypress/BDD test-code assistant aimed at QA productivity; no AI-TD, specification, or IS success.</t>
        </is>
      </c>
    </row>
    <row r="17">
      <c r="A17" s="2" t="n">
        <v>16</v>
      </c>
      <c r="B17" s="2" t="inlineStr">
        <is>
          <t>A010</t>
        </is>
      </c>
      <c r="C17" s="2" t="inlineStr">
        <is>
          <t>Krebs &amp; Mazumdar</t>
        </is>
      </c>
      <c r="D17" s="2" t="inlineStr">
        <is>
          <t>2025</t>
        </is>
      </c>
      <c r="E17" s="2" t="inlineStr">
        <is>
          <t>Analyzing LLM-Generated Code According to Four ISO/IEC 5055:2021 Categories</t>
        </is>
      </c>
      <c r="F17" s="2" t="inlineStr">
        <is>
          <t>IEEE Access</t>
        </is>
      </c>
      <c r="G17" s="2" t="inlineStr">
        <is>
          <t>10.1109/access.2025.3637569</t>
        </is>
      </c>
      <c r="H17" s="2" t="inlineStr">
        <is>
          <t>Include</t>
        </is>
      </c>
      <c r="I17" s="2" t="inlineStr">
        <is>
          <t>Include</t>
        </is>
      </c>
      <c r="J17" s="2" t="inlineStr">
        <is>
          <t>INC</t>
        </is>
      </c>
      <c r="K17" s="2" t="inlineStr">
        <is>
          <t>Static analysis of LLM-generated code under the four ISO/IEC 5055 quality categories.</t>
        </is>
      </c>
    </row>
    <row r="18">
      <c r="A18" s="2" t="n">
        <v>17</v>
      </c>
      <c r="B18" s="2" t="inlineStr">
        <is>
          <t>A011</t>
        </is>
      </c>
      <c r="C18" s="2" t="inlineStr">
        <is>
          <t>Khalfaoui et al.</t>
        </is>
      </c>
      <c r="D18" s="2" t="inlineStr">
        <is>
          <t>2025</t>
        </is>
      </c>
      <c r="E18" s="2" t="inlineStr">
        <is>
          <t>Microservices-Driven Automation in Full-Stack Development: Bridging Efficiency and Innovation With FSMicroGenerator</t>
        </is>
      </c>
      <c r="F18" s="2" t="inlineStr">
        <is>
          <t>IEEE Access</t>
        </is>
      </c>
      <c r="G18" s="2" t="inlineStr">
        <is>
          <t>10.1109/access.2025.3589285</t>
        </is>
      </c>
      <c r="H18" s="2" t="inlineStr">
        <is>
          <t>Exclude</t>
        </is>
      </c>
      <c r="I18" s="2" t="inlineStr">
        <is>
          <t>Not assessed</t>
        </is>
      </c>
      <c r="J18" s="2" t="inlineStr">
        <is>
          <t>E1a</t>
        </is>
      </c>
      <c r="K18" s="2" t="inlineStr">
        <is>
          <t>Low-code full-stack generation from UML/templates without LLMs; technical debt mentioned only rhetorically.</t>
        </is>
      </c>
    </row>
    <row r="19">
      <c r="A19" s="2" t="n">
        <v>18</v>
      </c>
      <c r="B19" s="2" t="inlineStr">
        <is>
          <t>A012</t>
        </is>
      </c>
      <c r="C19" s="2" t="inlineStr">
        <is>
          <t>Wang</t>
        </is>
      </c>
      <c r="D19" s="2" t="inlineStr">
        <is>
          <t>2026</t>
        </is>
      </c>
      <c r="E19" s="2" t="inlineStr">
        <is>
          <t>CurricuForge: A Unified Framework for Progressive Code Generation Through Curriculum-Guided Multi-Agent Collaboration With Symbolic Verification</t>
        </is>
      </c>
      <c r="F19" s="2" t="inlineStr">
        <is>
          <t>IEEE Access</t>
        </is>
      </c>
      <c r="G19" s="2" t="inlineStr">
        <is>
          <t>10.1109/access.2026.3668847</t>
        </is>
      </c>
      <c r="H19" s="2" t="inlineStr">
        <is>
          <t>Exclude</t>
        </is>
      </c>
      <c r="I19" s="2" t="inlineStr">
        <is>
          <t>Not assessed</t>
        </is>
      </c>
      <c r="J19" s="2" t="inlineStr">
        <is>
          <t>E1b</t>
        </is>
      </c>
      <c r="K19" s="2" t="inlineStr">
        <is>
          <t>Curriculum-learning framework to train LLMs for code correctness on benchmarks; model optimization, no AI-TD.</t>
        </is>
      </c>
    </row>
    <row r="20">
      <c r="A20" s="2" t="n">
        <v>19</v>
      </c>
      <c r="B20" s="2" t="inlineStr">
        <is>
          <t>A013</t>
        </is>
      </c>
      <c r="C20" s="2" t="inlineStr">
        <is>
          <t>Khojah et al.</t>
        </is>
      </c>
      <c r="D20" s="2" t="inlineStr">
        <is>
          <t>2025</t>
        </is>
      </c>
      <c r="E20" s="2" t="inlineStr">
        <is>
          <t>The Impact of Prompt Programming on Function-Level Code Generation</t>
        </is>
      </c>
      <c r="F20" s="2" t="inlineStr">
        <is>
          <t>IEEE Transactions on Software Engineering</t>
        </is>
      </c>
      <c r="G20" s="2" t="inlineStr">
        <is>
          <t>10.1109/tse.2025.3587794</t>
        </is>
      </c>
      <c r="H20" s="2" t="inlineStr">
        <is>
          <t>Include</t>
        </is>
      </c>
      <c r="I20" s="2" t="inlineStr">
        <is>
          <t>Include</t>
        </is>
      </c>
      <c r="J20" s="2" t="inlineStr">
        <is>
          <t>INC</t>
        </is>
      </c>
      <c r="K20" s="2" t="inlineStr">
        <is>
          <t>Factorial evaluation of five prompt techniques on correctness and quality of function-level LLM code.</t>
        </is>
      </c>
    </row>
    <row r="21">
      <c r="A21" s="2" t="n">
        <v>20</v>
      </c>
      <c r="B21" s="2" t="inlineStr">
        <is>
          <t>A014</t>
        </is>
      </c>
      <c r="C21" s="2" t="inlineStr">
        <is>
          <t>Haindl &amp; Weinberger</t>
        </is>
      </c>
      <c r="D21" s="2" t="inlineStr">
        <is>
          <t>2024</t>
        </is>
      </c>
      <c r="E21" s="2" t="inlineStr">
        <is>
          <t>Does ChatGPT Help Novice Programmers Write Better Code? Results From Static Code Analysis</t>
        </is>
      </c>
      <c r="F21" s="2" t="inlineStr">
        <is>
          <t>IEEE Access</t>
        </is>
      </c>
      <c r="G21" s="2" t="inlineStr">
        <is>
          <t>10.1109/access.2024.3445432</t>
        </is>
      </c>
      <c r="H21" s="2" t="inlineStr">
        <is>
          <t>Include</t>
        </is>
      </c>
      <c r="I21" s="2" t="inlineStr">
        <is>
          <t>Include</t>
        </is>
      </c>
      <c r="J21" s="2" t="inlineStr">
        <is>
          <t>INC</t>
        </is>
      </c>
      <c r="K21" s="2" t="inlineStr">
        <is>
          <t>Controlled experiment (ChatGPT vs. no ChatGPT) on the static-analysis quality of novice university Java code.</t>
        </is>
      </c>
    </row>
    <row r="22">
      <c r="A22" s="2" t="n">
        <v>21</v>
      </c>
      <c r="B22" s="2" t="inlineStr">
        <is>
          <t>A015</t>
        </is>
      </c>
      <c r="C22" s="2" t="inlineStr">
        <is>
          <t>Durrani et al.</t>
        </is>
      </c>
      <c r="D22" s="2" t="inlineStr">
        <is>
          <t>2024</t>
        </is>
      </c>
      <c r="E22" s="2" t="inlineStr">
        <is>
          <t>A Decade of Progress: A Systematic Literature Review on the Integration of AI in Software Engineering Phases and Activities (2013-2023)</t>
        </is>
      </c>
      <c r="F22" s="2" t="inlineStr">
        <is>
          <t>IEEE Access</t>
        </is>
      </c>
      <c r="G22" s="2" t="inlineStr">
        <is>
          <t>10.1109/access.2024.3488904</t>
        </is>
      </c>
      <c r="H22" s="2" t="inlineStr">
        <is>
          <t>Exclude</t>
        </is>
      </c>
      <c r="I22" s="2" t="inlineStr">
        <is>
          <t>Not assessed</t>
        </is>
      </c>
      <c r="J22" s="2" t="inlineStr">
        <is>
          <t>E1a</t>
        </is>
      </c>
      <c r="K22" s="2" t="inlineStr">
        <is>
          <t>Broad SLR on classical ML/DL across SE phases (2013-2023); no LLM-generated code or AI-TD.</t>
        </is>
      </c>
    </row>
    <row r="23">
      <c r="A23" s="2" t="n">
        <v>22</v>
      </c>
      <c r="B23" s="2" t="inlineStr">
        <is>
          <t>A016</t>
        </is>
      </c>
      <c r="C23" s="2" t="inlineStr">
        <is>
          <t>Sisomboon et al.</t>
        </is>
      </c>
      <c r="D23" s="2" t="inlineStr">
        <is>
          <t>2026</t>
        </is>
      </c>
      <c r="E23" s="2" t="inlineStr">
        <is>
          <t>Automated Software Test Case Generation Using Directional Partially Weighted Ensemble Large Language Models With Retrieval-Augmented Generation (RAG)</t>
        </is>
      </c>
      <c r="F23" s="2" t="inlineStr">
        <is>
          <t>IEEE Access</t>
        </is>
      </c>
      <c r="G23" s="2" t="inlineStr">
        <is>
          <t>10.1109/access.2026.3667925</t>
        </is>
      </c>
      <c r="H23" s="2" t="inlineStr">
        <is>
          <t>Exclude</t>
        </is>
      </c>
      <c r="I23" s="2" t="inlineStr">
        <is>
          <t>Not assessed</t>
        </is>
      </c>
      <c r="J23" s="2" t="inlineStr">
        <is>
          <t>E1a</t>
        </is>
      </c>
      <c r="K23" s="2" t="inlineStr">
        <is>
          <t>LLM ensemble + RAG test-case generation for ATDD; functional test coverage, no AI-TD.</t>
        </is>
      </c>
    </row>
    <row r="24">
      <c r="A24" s="2" t="n">
        <v>23</v>
      </c>
      <c r="B24" s="2" t="inlineStr">
        <is>
          <t>A017</t>
        </is>
      </c>
      <c r="C24" s="2" t="inlineStr">
        <is>
          <t>Dosaru et al.</t>
        </is>
      </c>
      <c r="D24" s="2" t="inlineStr">
        <is>
          <t>2025</t>
        </is>
      </c>
      <c r="E24" s="2" t="inlineStr">
        <is>
          <t>Using GenAI to Assess Design Patterns in Student-Written Code</t>
        </is>
      </c>
      <c r="F24" s="2" t="inlineStr">
        <is>
          <t>IEEE Transactions on Learning Technologies</t>
        </is>
      </c>
      <c r="G24" s="2" t="inlineStr">
        <is>
          <t>10.1109/tlt.2025.3604054</t>
        </is>
      </c>
      <c r="H24" s="2" t="inlineStr">
        <is>
          <t>Maybe</t>
        </is>
      </c>
      <c r="I24" s="2" t="inlineStr">
        <is>
          <t>Exclude</t>
        </is>
      </c>
      <c r="J24" s="2" t="inlineStr">
        <is>
          <t>FT-E</t>
        </is>
      </c>
      <c r="K24" s="2" t="inlineStr">
        <is>
          <t>GenAI to detect design patterns in student code for automated assessment; pedagogical, no AI-TD evidence.</t>
        </is>
      </c>
    </row>
    <row r="25">
      <c r="A25" s="2" t="n">
        <v>24</v>
      </c>
      <c r="B25" s="2" t="inlineStr">
        <is>
          <t>A018</t>
        </is>
      </c>
      <c r="C25" s="2" t="inlineStr">
        <is>
          <t>Esubalew &amp; Assefa</t>
        </is>
      </c>
      <c r="D25" s="2" t="inlineStr">
        <is>
          <t>2025</t>
        </is>
      </c>
      <c r="E25" s="2" t="inlineStr">
        <is>
          <t>Reimagining Unit Test Generation With AI: A Journey From Evolutionary Models to Transformers</t>
        </is>
      </c>
      <c r="F25" s="2" t="inlineStr">
        <is>
          <t>IEEE Access</t>
        </is>
      </c>
      <c r="G25" s="2" t="inlineStr">
        <is>
          <t>10.1109/access.2025.3597049</t>
        </is>
      </c>
      <c r="H25" s="2" t="inlineStr">
        <is>
          <t>Exclude</t>
        </is>
      </c>
      <c r="I25" s="2" t="inlineStr">
        <is>
          <t>Not assessed</t>
        </is>
      </c>
      <c r="J25" s="2" t="inlineStr">
        <is>
          <t>E1a</t>
        </is>
      </c>
      <c r="K25" s="2" t="inlineStr">
        <is>
          <t>Review of AI for Java unit-test generation; testing automation, no AI-TD.</t>
        </is>
      </c>
    </row>
    <row r="26">
      <c r="A26" s="2" t="n">
        <v>25</v>
      </c>
      <c r="B26" s="2" t="inlineStr">
        <is>
          <t>A019</t>
        </is>
      </c>
      <c r="C26" s="2" t="inlineStr">
        <is>
          <t>Baralla et al.</t>
        </is>
      </c>
      <c r="D26" s="2" t="inlineStr">
        <is>
          <t>2024</t>
        </is>
      </c>
      <c r="E26" s="2" t="inlineStr">
        <is>
          <t>Assessing GitHub Copilot in Solidity Development: Capabilities, Testing, and Bug Fixing</t>
        </is>
      </c>
      <c r="F26" s="2" t="inlineStr">
        <is>
          <t>IEEE Access</t>
        </is>
      </c>
      <c r="G26" s="2" t="inlineStr">
        <is>
          <t>10.1109/access.2024.3486365</t>
        </is>
      </c>
      <c r="H26" s="2" t="inlineStr">
        <is>
          <t>Exclude</t>
        </is>
      </c>
      <c r="I26" s="2" t="inlineStr">
        <is>
          <t>Not assessed</t>
        </is>
      </c>
      <c r="J26" s="2" t="inlineStr">
        <is>
          <t>E1c</t>
        </is>
      </c>
      <c r="K26" s="2" t="inlineStr">
        <is>
          <t>GitHub Copilot for Solidity smart contracts; blockchain-specific domain.</t>
        </is>
      </c>
    </row>
    <row r="27">
      <c r="A27" s="2" t="n">
        <v>26</v>
      </c>
      <c r="B27" s="2" t="inlineStr">
        <is>
          <t>A020</t>
        </is>
      </c>
      <c r="C27" s="2" t="inlineStr">
        <is>
          <t>Esirik &amp; Gökalp</t>
        </is>
      </c>
      <c r="D27" s="2" t="inlineStr">
        <is>
          <t>2026</t>
        </is>
      </c>
      <c r="E27" s="2" t="inlineStr">
        <is>
          <t>A User-Centric Domain-Adaptive Quality Model for Benchmarking Generative AI Systems</t>
        </is>
      </c>
      <c r="F27" s="2" t="inlineStr">
        <is>
          <t>IEEE Access</t>
        </is>
      </c>
      <c r="G27" s="2" t="inlineStr">
        <is>
          <t>10.1109/access.2026.3683220</t>
        </is>
      </c>
      <c r="H27" s="2" t="inlineStr">
        <is>
          <t>Maybe</t>
        </is>
      </c>
      <c r="I27" s="2" t="inlineStr">
        <is>
          <t>Exclude</t>
        </is>
      </c>
      <c r="J27" s="2" t="inlineStr">
        <is>
          <t>FT-E</t>
        </is>
      </c>
      <c r="K27" s="2" t="inlineStr">
        <is>
          <t>AHP/Delphi quality model to benchmark GenAI systems as products; evaluates the AI system, not the generated code.</t>
        </is>
      </c>
    </row>
    <row r="28">
      <c r="A28" s="2" t="n">
        <v>27</v>
      </c>
      <c r="B28" s="2" t="inlineStr"/>
      <c r="C28" s="2" t="inlineStr">
        <is>
          <t>Alshahrani et al.</t>
        </is>
      </c>
      <c r="D28" s="2" t="inlineStr">
        <is>
          <t>2025</t>
        </is>
      </c>
      <c r="E28" s="2" t="inlineStr">
        <is>
          <t>Architectural Styles and Quality Attributes in AI-Based Video Software: A Systematic Literature Review</t>
        </is>
      </c>
      <c r="F28" s="2" t="inlineStr">
        <is>
          <t>IEEE Access</t>
        </is>
      </c>
      <c r="G28" s="2" t="inlineStr">
        <is>
          <t>10.1109/access.2025.3625266</t>
        </is>
      </c>
      <c r="H28" s="2" t="inlineStr">
        <is>
          <t>Exclude</t>
        </is>
      </c>
      <c r="I28" s="2" t="inlineStr">
        <is>
          <t>Not assessed</t>
        </is>
      </c>
      <c r="J28" s="2" t="inlineStr">
        <is>
          <t>E1c</t>
        </is>
      </c>
      <c r="K28" s="2" t="inlineStr">
        <is>
          <t>SLR of architectures and quality attributes in AI-based video software; unrelated domain.</t>
        </is>
      </c>
    </row>
    <row r="29">
      <c r="A29" s="2" t="n">
        <v>28</v>
      </c>
      <c r="B29" s="2" t="inlineStr"/>
      <c r="C29" s="2" t="inlineStr">
        <is>
          <t>Mehmood et al.</t>
        </is>
      </c>
      <c r="D29" s="2" t="inlineStr">
        <is>
          <t>2024</t>
        </is>
      </c>
      <c r="E29" s="2" t="inlineStr">
        <is>
          <t>Test Suite Optimization Using Machine Learning Techniques: A Comprehensive Study</t>
        </is>
      </c>
      <c r="F29" s="2" t="inlineStr">
        <is>
          <t>IEEE Access</t>
        </is>
      </c>
      <c r="G29" s="2" t="inlineStr">
        <is>
          <t>10.1109/access.2024.3490453</t>
        </is>
      </c>
      <c r="H29" s="2" t="inlineStr">
        <is>
          <t>Exclude</t>
        </is>
      </c>
      <c r="I29" s="2" t="inlineStr">
        <is>
          <t>Not assessed</t>
        </is>
      </c>
      <c r="J29" s="2" t="inlineStr">
        <is>
          <t>E1a</t>
        </is>
      </c>
      <c r="K29" s="2" t="inlineStr">
        <is>
          <t>Review of ML/GenAI techniques for test-suite optimization; no AI-TD.</t>
        </is>
      </c>
    </row>
    <row r="30">
      <c r="A30" s="2" t="n">
        <v>29</v>
      </c>
      <c r="B30" s="2" t="inlineStr"/>
      <c r="C30" s="2" t="inlineStr">
        <is>
          <t>Bagies</t>
        </is>
      </c>
      <c r="D30" s="2" t="inlineStr">
        <is>
          <t>2026</t>
        </is>
      </c>
      <c r="E30" s="2" t="inlineStr">
        <is>
          <t>Transformer-Based Classification of Security-Related Mobile App Reviews Using Active Learning</t>
        </is>
      </c>
      <c r="F30" s="2" t="inlineStr">
        <is>
          <t>IEEE Access</t>
        </is>
      </c>
      <c r="G30" s="2" t="inlineStr">
        <is>
          <t>10.1109/access.2026.3692620</t>
        </is>
      </c>
      <c r="H30" s="2" t="inlineStr">
        <is>
          <t>Exclude</t>
        </is>
      </c>
      <c r="I30" s="2" t="inlineStr">
        <is>
          <t>Not assessed</t>
        </is>
      </c>
      <c r="J30" s="2" t="inlineStr">
        <is>
          <t>E1c</t>
        </is>
      </c>
      <c r="K30" s="2" t="inlineStr">
        <is>
          <t>Transformer classification of security-related mobile-app reviews; NLP on user reviews.</t>
        </is>
      </c>
    </row>
    <row r="31">
      <c r="A31" s="2" t="n">
        <v>30</v>
      </c>
      <c r="B31" s="2" t="inlineStr"/>
      <c r="C31" s="2" t="inlineStr">
        <is>
          <t>Caldas et al.</t>
        </is>
      </c>
      <c r="D31" s="2" t="inlineStr">
        <is>
          <t>2024</t>
        </is>
      </c>
      <c r="E31" s="2" t="inlineStr">
        <is>
          <t>Runtime Verification and Field-Based Testing for ROS-Based Robotic Systems</t>
        </is>
      </c>
      <c r="F31" s="2" t="inlineStr">
        <is>
          <t>IEEE Transactions on Software Engineering</t>
        </is>
      </c>
      <c r="G31" s="2" t="inlineStr">
        <is>
          <t>10.1109/tse.2024.3444697</t>
        </is>
      </c>
      <c r="H31" s="2" t="inlineStr">
        <is>
          <t>Exclude</t>
        </is>
      </c>
      <c r="I31" s="2" t="inlineStr">
        <is>
          <t>Not assessed</t>
        </is>
      </c>
      <c r="J31" s="2" t="inlineStr">
        <is>
          <t>E1c</t>
        </is>
      </c>
      <c r="K31" s="2" t="inlineStr">
        <is>
          <t>Runtime verification and field testing for ROS-based robotic systems; unrelated domain.</t>
        </is>
      </c>
    </row>
    <row r="32">
      <c r="A32" s="2" t="n">
        <v>31</v>
      </c>
      <c r="B32" s="2" t="inlineStr">
        <is>
          <t>A027</t>
        </is>
      </c>
      <c r="C32" s="2" t="inlineStr">
        <is>
          <t>Zhuo et al.</t>
        </is>
      </c>
      <c r="D32" s="2" t="inlineStr">
        <is>
          <t>2026</t>
        </is>
      </c>
      <c r="E32" s="2" t="inlineStr">
        <is>
          <t>Getting Acquainted with Your LLMs: Are They Aware of Smelly Code?</t>
        </is>
      </c>
      <c r="F32" s="2" t="inlineStr">
        <is>
          <t>IEEE Software</t>
        </is>
      </c>
      <c r="G32" s="2" t="inlineStr">
        <is>
          <t>10.1109/ms.2026.3665838</t>
        </is>
      </c>
      <c r="H32" s="2" t="inlineStr">
        <is>
          <t>Include</t>
        </is>
      </c>
      <c r="I32" s="2" t="inlineStr">
        <is>
          <t>Include</t>
        </is>
      </c>
      <c r="J32" s="2" t="inlineStr">
        <is>
          <t>INC</t>
        </is>
      </c>
      <c r="K32" s="2" t="inlineStr">
        <is>
          <t>Empirical probe of LLM awareness of code smells; models rationalize smelly code.</t>
        </is>
      </c>
    </row>
    <row r="33">
      <c r="A33" s="2" t="n">
        <v>32</v>
      </c>
      <c r="B33" s="2" t="inlineStr">
        <is>
          <t>A028</t>
        </is>
      </c>
      <c r="C33" s="2" t="inlineStr">
        <is>
          <t>Lee &amp; Joe</t>
        </is>
      </c>
      <c r="D33" s="2" t="inlineStr">
        <is>
          <t>2025</t>
        </is>
      </c>
      <c r="E33" s="2" t="inlineStr">
        <is>
          <t>A GPT-Based Code Review System With Accurate Feedback for Programming Education</t>
        </is>
      </c>
      <c r="F33" s="2" t="inlineStr">
        <is>
          <t>IEEE Access</t>
        </is>
      </c>
      <c r="G33" s="2" t="inlineStr">
        <is>
          <t>10.1109/access.2025.3581139</t>
        </is>
      </c>
      <c r="H33" s="2" t="inlineStr">
        <is>
          <t>Exclude</t>
        </is>
      </c>
      <c r="I33" s="2" t="inlineStr">
        <is>
          <t>Not assessed</t>
        </is>
      </c>
      <c r="J33" s="2" t="inlineStr">
        <is>
          <t>E1a</t>
        </is>
      </c>
      <c r="K33" s="2" t="inlineStr">
        <is>
          <t>GPT-4o code-review system for primary/secondary programming education; pre-university pedagogy, no AI-TD.</t>
        </is>
      </c>
    </row>
    <row r="34">
      <c r="A34" s="2" t="n">
        <v>33</v>
      </c>
      <c r="B34" s="2" t="inlineStr">
        <is>
          <t>A029</t>
        </is>
      </c>
      <c r="C34" s="2" t="inlineStr">
        <is>
          <t>Cheah et al.</t>
        </is>
      </c>
      <c r="D34" s="2" t="inlineStr">
        <is>
          <t>2025</t>
        </is>
      </c>
      <c r="E34" s="2" t="inlineStr">
        <is>
          <t>Descriptor: A Corpus of Synthesizable Verilog RTL Modules Dataset for EDA Research (CORE)</t>
        </is>
      </c>
      <c r="F34" s="2" t="inlineStr">
        <is>
          <t>IEEE Data Descriptions</t>
        </is>
      </c>
      <c r="G34" s="2" t="inlineStr">
        <is>
          <t>10.1109/ieeedata.2025.3620273</t>
        </is>
      </c>
      <c r="H34" s="2" t="inlineStr">
        <is>
          <t>Exclude</t>
        </is>
      </c>
      <c r="I34" s="2" t="inlineStr">
        <is>
          <t>Not assessed</t>
        </is>
      </c>
      <c r="J34" s="2" t="inlineStr">
        <is>
          <t>E1c</t>
        </is>
      </c>
      <c r="K34" s="2" t="inlineStr">
        <is>
          <t>Dataset of synthesizable Verilog RTL modules for EDA research; hardware description domain.</t>
        </is>
      </c>
    </row>
    <row r="35">
      <c r="A35" s="2" t="n">
        <v>34</v>
      </c>
      <c r="B35" s="2" t="inlineStr">
        <is>
          <t>A030</t>
        </is>
      </c>
      <c r="C35" s="2" t="inlineStr">
        <is>
          <t>Ginde et al.</t>
        </is>
      </c>
      <c r="D35" s="2" t="inlineStr">
        <is>
          <t>2025</t>
        </is>
      </c>
      <c r="E35" s="2" t="inlineStr">
        <is>
          <t>Rethinking Technological Investment and Cost-Benefit: A Software Requirements Dependency Extraction Case Study</t>
        </is>
      </c>
      <c r="F35" s="2" t="inlineStr">
        <is>
          <t>IEEE Access</t>
        </is>
      </c>
      <c r="G35" s="2" t="inlineStr">
        <is>
          <t>10.1109/access.2025.3556313</t>
        </is>
      </c>
      <c r="H35" s="2" t="inlineStr">
        <is>
          <t>Exclude</t>
        </is>
      </c>
      <c r="I35" s="2" t="inlineStr">
        <is>
          <t>Not assessed</t>
        </is>
      </c>
      <c r="J35" s="2" t="inlineStr">
        <is>
          <t>E1a</t>
        </is>
      </c>
      <c r="K35" s="2" t="inlineStr">
        <is>
          <t>ROI analysis of ML techniques for requirements-dependency extraction; no AI-TD.</t>
        </is>
      </c>
    </row>
    <row r="36">
      <c r="A36" s="2" t="n">
        <v>35</v>
      </c>
      <c r="B36" s="2" t="inlineStr">
        <is>
          <t>A031</t>
        </is>
      </c>
      <c r="C36" s="2" t="inlineStr">
        <is>
          <t>Xiang &amp; Shao</t>
        </is>
      </c>
      <c r="D36" s="2" t="inlineStr">
        <is>
          <t>2024</t>
        </is>
      </c>
      <c r="E36" s="2" t="inlineStr">
        <is>
          <t>SumLLaMA: Efficient Contrastive Representations and Fine-Tuned Adapters for Bug Report Summarization</t>
        </is>
      </c>
      <c r="F36" s="2" t="inlineStr">
        <is>
          <t>IEEE Access</t>
        </is>
      </c>
      <c r="G36" s="2" t="inlineStr">
        <is>
          <t>10.1109/access.2024.3397326</t>
        </is>
      </c>
      <c r="H36" s="2" t="inlineStr">
        <is>
          <t>Exclude</t>
        </is>
      </c>
      <c r="I36" s="2" t="inlineStr">
        <is>
          <t>Not assessed</t>
        </is>
      </c>
      <c r="J36" s="2" t="inlineStr">
        <is>
          <t>E1a</t>
        </is>
      </c>
      <c r="K36" s="2" t="inlineStr">
        <is>
          <t>Fine-tuned LLM for bug-report summarization (ROUGE); NLP task, no AI-TD in generated code.</t>
        </is>
      </c>
    </row>
    <row r="37">
      <c r="A37" s="2" t="n">
        <v>36</v>
      </c>
      <c r="B37" s="2" t="inlineStr">
        <is>
          <t>A032</t>
        </is>
      </c>
      <c r="C37" s="2" t="inlineStr">
        <is>
          <t>Karnalim &amp; Setiawan</t>
        </is>
      </c>
      <c r="D37" s="2" t="inlineStr">
        <is>
          <t>2026</t>
        </is>
      </c>
      <c r="E37" s="2" t="inlineStr">
        <is>
          <t>E-STRANGE: A programming support platform in academia for code ethics, quality, and efficiency</t>
        </is>
      </c>
      <c r="F37" s="2" t="inlineStr">
        <is>
          <t>Software Impacts</t>
        </is>
      </c>
      <c r="G37" s="2" t="inlineStr">
        <is>
          <t>10.1016/j.simpa.2026.100814</t>
        </is>
      </c>
      <c r="H37" s="2" t="inlineStr">
        <is>
          <t>Exclude</t>
        </is>
      </c>
      <c r="I37" s="2" t="inlineStr">
        <is>
          <t>Not assessed</t>
        </is>
      </c>
      <c r="J37" s="2" t="inlineStr">
        <is>
          <t>E1a</t>
        </is>
      </c>
      <c r="K37" s="2" t="inlineStr">
        <is>
          <t>Gamified platform assessing ethics, quality, and efficiency of student code; pedagogical tool, no AI-TD in IS projects.</t>
        </is>
      </c>
    </row>
    <row r="38">
      <c r="A38" s="2" t="n">
        <v>37</v>
      </c>
      <c r="B38" s="2" t="inlineStr">
        <is>
          <t>A033</t>
        </is>
      </c>
      <c r="C38" s="2" t="inlineStr">
        <is>
          <t>Gao et al.</t>
        </is>
      </c>
      <c r="D38" s="2" t="inlineStr">
        <is>
          <t>2025</t>
        </is>
      </c>
      <c r="E38" s="2" t="inlineStr">
        <is>
          <t>SVA-ICL: Improving LLM-based software vulnerability assessment via in-context learning and information fusion</t>
        </is>
      </c>
      <c r="F38" s="2" t="inlineStr">
        <is>
          <t>Information and Software Technology</t>
        </is>
      </c>
      <c r="G38" s="2" t="inlineStr">
        <is>
          <t>10.1016/j.infsof.2025.107803</t>
        </is>
      </c>
      <c r="H38" s="2" t="inlineStr">
        <is>
          <t>Exclude</t>
        </is>
      </c>
      <c r="I38" s="2" t="inlineStr">
        <is>
          <t>Not assessed</t>
        </is>
      </c>
      <c r="J38" s="2" t="inlineStr">
        <is>
          <t>E1c</t>
        </is>
      </c>
      <c r="K38" s="2" t="inlineStr">
        <is>
          <t>In-context learning for C/C++ vulnerability (CVE) assessment; security detection not tied to maintainability.</t>
        </is>
      </c>
    </row>
    <row r="39">
      <c r="A39" s="2" t="n">
        <v>38</v>
      </c>
      <c r="B39" s="2" t="inlineStr">
        <is>
          <t>A034</t>
        </is>
      </c>
      <c r="C39" s="2" t="inlineStr">
        <is>
          <t>Bishop et al.</t>
        </is>
      </c>
      <c r="D39" s="2" t="inlineStr">
        <is>
          <t>2026</t>
        </is>
      </c>
      <c r="E39" s="2" t="inlineStr">
        <is>
          <t>On-demand generation of high-quality software engineering datasets using large language models and ontologies</t>
        </is>
      </c>
      <c r="F39" s="2" t="inlineStr">
        <is>
          <t>Automated Software Engineering</t>
        </is>
      </c>
      <c r="G39" s="2" t="inlineStr">
        <is>
          <t>10.1007/s10515-026-00617-w</t>
        </is>
      </c>
      <c r="H39" s="2" t="inlineStr">
        <is>
          <t>Exclude</t>
        </is>
      </c>
      <c r="I39" s="2" t="inlineStr">
        <is>
          <t>Not assessed</t>
        </is>
      </c>
      <c r="J39" s="2" t="inlineStr">
        <is>
          <t>E1a</t>
        </is>
      </c>
      <c r="K39" s="2" t="inlineStr">
        <is>
          <t>Synthetic SE dataset generation with LLMs for non-functional requirement classification; requirements data synthesis.</t>
        </is>
      </c>
    </row>
    <row r="40">
      <c r="A40" s="2" t="n">
        <v>39</v>
      </c>
      <c r="B40" s="2" t="inlineStr">
        <is>
          <t>A035</t>
        </is>
      </c>
      <c r="C40" s="2" t="inlineStr">
        <is>
          <t>Pezzè et al.</t>
        </is>
      </c>
      <c r="D40" s="2" t="inlineStr">
        <is>
          <t>2025</t>
        </is>
      </c>
      <c r="E40" s="2" t="inlineStr">
        <is>
          <t>A 2030 Roadmap for Software Engineering</t>
        </is>
      </c>
      <c r="F40" s="2" t="inlineStr">
        <is>
          <t>ACM Transactions on Software Engineering and Methodology</t>
        </is>
      </c>
      <c r="G40" s="2" t="inlineStr">
        <is>
          <t>10.1145/3731559</t>
        </is>
      </c>
      <c r="H40" s="2" t="inlineStr">
        <is>
          <t>Exclude</t>
        </is>
      </c>
      <c r="I40" s="2" t="inlineStr">
        <is>
          <t>Not assessed</t>
        </is>
      </c>
      <c r="J40" s="2" t="inlineStr">
        <is>
          <t>E1d</t>
        </is>
      </c>
      <c r="K40" s="2" t="inlineStr">
        <is>
          <t>Software engineering 2030 roadmap; too general to provide evidence on AI-TD.</t>
        </is>
      </c>
    </row>
    <row r="41">
      <c r="A41" s="2" t="n">
        <v>40</v>
      </c>
      <c r="B41" s="2" t="inlineStr">
        <is>
          <t>A036</t>
        </is>
      </c>
      <c r="C41" s="2" t="inlineStr">
        <is>
          <t>Al-Hashimi</t>
        </is>
      </c>
      <c r="D41" s="2" t="inlineStr">
        <is>
          <t>2026</t>
        </is>
      </c>
      <c r="E41" s="2" t="inlineStr">
        <is>
          <t>A generative AI cybersecurity risks mitigation model for code generation: using ANN-ISM hybrid approach</t>
        </is>
      </c>
      <c r="F41" s="2" t="inlineStr">
        <is>
          <t>Scientific Reports</t>
        </is>
      </c>
      <c r="G41" s="2" t="inlineStr">
        <is>
          <t>10.1038/s41598-025-34350-3</t>
        </is>
      </c>
      <c r="H41" s="2" t="inlineStr">
        <is>
          <t>Exclude</t>
        </is>
      </c>
      <c r="I41" s="2" t="inlineStr">
        <is>
          <t>Not assessed</t>
        </is>
      </c>
      <c r="J41" s="2" t="inlineStr">
        <is>
          <t>E1c</t>
        </is>
      </c>
      <c r="K41" s="2" t="inlineStr">
        <is>
          <t>ANN-ISM model of cybersecurity risks in GenAI code; security focus not tied to maintainability.</t>
        </is>
      </c>
    </row>
    <row r="42">
      <c r="A42" s="2" t="n">
        <v>41</v>
      </c>
      <c r="B42" s="2" t="inlineStr">
        <is>
          <t>A037</t>
        </is>
      </c>
      <c r="C42" s="2" t="inlineStr">
        <is>
          <t>Alomar</t>
        </is>
      </c>
      <c r="D42" s="2" t="inlineStr">
        <is>
          <t>2025</t>
        </is>
      </c>
      <c r="E42" s="2" t="inlineStr">
        <is>
          <t>Nurturing Code Quality: Leveraging Static Analysis and Large Language Models for Software Quality in Education</t>
        </is>
      </c>
      <c r="F42" s="2" t="inlineStr">
        <is>
          <t>ACM Transactions on Computing Education</t>
        </is>
      </c>
      <c r="G42" s="2" t="inlineStr">
        <is>
          <t>10.1145/3722229</t>
        </is>
      </c>
      <c r="H42" s="2" t="inlineStr">
        <is>
          <t>Include</t>
        </is>
      </c>
      <c r="I42" s="2" t="inlineStr">
        <is>
          <t>Include</t>
        </is>
      </c>
      <c r="J42" s="2" t="inlineStr">
        <is>
          <t>INC</t>
        </is>
      </c>
      <c r="K42" s="2" t="inlineStr">
        <is>
          <t>PMD + ChatGPT in university code review (155 submissions); added value of the LLM over the linter.</t>
        </is>
      </c>
    </row>
    <row r="43">
      <c r="A43" s="2" t="n">
        <v>42</v>
      </c>
      <c r="B43" s="2" t="inlineStr">
        <is>
          <t>A038</t>
        </is>
      </c>
      <c r="C43" s="2" t="inlineStr">
        <is>
          <t>Zhang et al.</t>
        </is>
      </c>
      <c r="D43" s="2" t="inlineStr">
        <is>
          <t>2026</t>
        </is>
      </c>
      <c r="E43" s="2" t="inlineStr">
        <is>
          <t>CITYWALK: Enhancing LLM-Based C++ Unit Test Generation via Project-Dependency Awareness and Language-Specific Knowledge</t>
        </is>
      </c>
      <c r="F43" s="2" t="inlineStr">
        <is>
          <t>ACM Transactions on Software Engineering and Methodology</t>
        </is>
      </c>
      <c r="G43" s="2" t="inlineStr">
        <is>
          <t>10.1145/3763791</t>
        </is>
      </c>
      <c r="H43" s="2" t="inlineStr">
        <is>
          <t>Exclude</t>
        </is>
      </c>
      <c r="I43" s="2" t="inlineStr">
        <is>
          <t>Not assessed</t>
        </is>
      </c>
      <c r="J43" s="2" t="inlineStr">
        <is>
          <t>E1a</t>
        </is>
      </c>
      <c r="K43" s="2" t="inlineStr">
        <is>
          <t>LLM framework for C++ unit-test generation; testing automation.</t>
        </is>
      </c>
    </row>
    <row r="44">
      <c r="A44" s="2" t="n">
        <v>43</v>
      </c>
      <c r="B44" s="2" t="inlineStr">
        <is>
          <t>A039</t>
        </is>
      </c>
      <c r="C44" s="2" t="inlineStr">
        <is>
          <t>Boukhlif et al.</t>
        </is>
      </c>
      <c r="D44" s="2" t="inlineStr">
        <is>
          <t>2026</t>
        </is>
      </c>
      <c r="E44" s="2" t="inlineStr">
        <is>
          <t>Leveraging Retrieval-augmented LLMs for Automated Test Case Generation from Software Requirements Specification</t>
        </is>
      </c>
      <c r="F44" s="2" t="inlineStr">
        <is>
          <t>International Journal of Intelligent Engineering and Systems</t>
        </is>
      </c>
      <c r="G44" s="2" t="inlineStr">
        <is>
          <t>10.22266/ijies2026.0131.04</t>
        </is>
      </c>
      <c r="H44" s="2" t="inlineStr">
        <is>
          <t>Exclude</t>
        </is>
      </c>
      <c r="I44" s="2" t="inlineStr">
        <is>
          <t>Not assessed</t>
        </is>
      </c>
      <c r="J44" s="2" t="inlineStr">
        <is>
          <t>E1a</t>
        </is>
      </c>
      <c r="K44" s="2" t="inlineStr">
        <is>
          <t>RAG + few-shot generation of test cases from SRS documents; QA automation.</t>
        </is>
      </c>
    </row>
    <row r="45">
      <c r="A45" s="2" t="n">
        <v>44</v>
      </c>
      <c r="B45" s="2" t="inlineStr">
        <is>
          <t>A040</t>
        </is>
      </c>
      <c r="C45" s="2" t="inlineStr">
        <is>
          <t>Gnieciak &amp; Szandala</t>
        </is>
      </c>
      <c r="D45" s="2" t="inlineStr">
        <is>
          <t>2025</t>
        </is>
      </c>
      <c r="E45" s="2" t="inlineStr">
        <is>
          <t>Large Language Models Versus Static Code Analysis Tools: A Systematic Benchmark for Vulnerability Detection</t>
        </is>
      </c>
      <c r="F45" s="2" t="inlineStr">
        <is>
          <t>IEEE Access</t>
        </is>
      </c>
      <c r="G45" s="2" t="inlineStr">
        <is>
          <t>10.1109/access.2025.3635168</t>
        </is>
      </c>
      <c r="H45" s="2" t="inlineStr">
        <is>
          <t>Include</t>
        </is>
      </c>
      <c r="I45" s="2" t="inlineStr">
        <is>
          <t>Include</t>
        </is>
      </c>
      <c r="J45" s="2" t="inlineStr">
        <is>
          <t>INC</t>
        </is>
      </c>
      <c r="K45" s="2" t="inlineStr">
        <is>
          <t>Benchmark of LLMs vs. SonarQube, CodeQL, and Snyk Code for vulnerability detection in real C# projects.</t>
        </is>
      </c>
    </row>
    <row r="46">
      <c r="A46" s="2" t="n">
        <v>45</v>
      </c>
      <c r="B46" s="2" t="inlineStr">
        <is>
          <t>A021</t>
        </is>
      </c>
      <c r="C46" s="2" t="inlineStr">
        <is>
          <t>Cámara et al.</t>
        </is>
      </c>
      <c r="D46" s="2" t="inlineStr">
        <is>
          <t>2024</t>
        </is>
      </c>
      <c r="E46" s="2" t="inlineStr">
        <is>
          <t>Towards standarized benchmarks of LLMs in software modeling tasks: a conceptual framework</t>
        </is>
      </c>
      <c r="F46" s="2" t="inlineStr">
        <is>
          <t>Software and Systems Modeling</t>
        </is>
      </c>
      <c r="G46" s="2" t="inlineStr">
        <is>
          <t>10.1007/s10270-024-01206-9</t>
        </is>
      </c>
      <c r="H46" s="2" t="inlineStr">
        <is>
          <t>Exclude</t>
        </is>
      </c>
      <c r="I46" s="2" t="inlineStr">
        <is>
          <t>Not assessed</t>
        </is>
      </c>
      <c r="J46" s="2" t="inlineStr">
        <is>
          <t>E1a</t>
        </is>
      </c>
      <c r="K46" s="2" t="inlineStr">
        <is>
          <t>Benchmark framework for LLMs in UML modelling tasks; models, not code.</t>
        </is>
      </c>
    </row>
    <row r="47">
      <c r="A47" s="2" t="n">
        <v>46</v>
      </c>
      <c r="B47" s="2" t="inlineStr">
        <is>
          <t>A022</t>
        </is>
      </c>
      <c r="C47" s="2" t="inlineStr">
        <is>
          <t>Şeker &amp; Nizam-Özoğur</t>
        </is>
      </c>
      <c r="D47" s="2" t="inlineStr">
        <is>
          <t>2026</t>
        </is>
      </c>
      <c r="E47" s="2" t="inlineStr">
        <is>
          <t>Enhancing Software Development with Large Language Models: A Case Study of Kolay.ai</t>
        </is>
      </c>
      <c r="F47" s="2" t="inlineStr">
        <is>
          <t>Electrica</t>
        </is>
      </c>
      <c r="G47" s="2" t="inlineStr">
        <is>
          <t>10.5152/electrica.2026.25033</t>
        </is>
      </c>
      <c r="H47" s="2" t="inlineStr">
        <is>
          <t>Exclude</t>
        </is>
      </c>
      <c r="I47" s="2" t="inlineStr">
        <is>
          <t>Not assessed</t>
        </is>
      </c>
      <c r="J47" s="2" t="inlineStr">
        <is>
          <t>E1d</t>
        </is>
      </c>
      <c r="K47" s="2" t="inlineStr">
        <is>
          <t>Commercial product case study with informal metrics; no AI-TD measurement.</t>
        </is>
      </c>
    </row>
    <row r="48">
      <c r="A48" s="2" t="n">
        <v>47</v>
      </c>
      <c r="B48" s="2" t="inlineStr">
        <is>
          <t>A041</t>
        </is>
      </c>
      <c r="C48" s="2" t="inlineStr">
        <is>
          <t>Mohammed Salih &amp; Sarhan</t>
        </is>
      </c>
      <c r="D48" s="2" t="inlineStr">
        <is>
          <t>2025</t>
        </is>
      </c>
      <c r="E48" s="2" t="inlineStr">
        <is>
          <t>A Study of Large Language Models in Detecting Python Code Violations</t>
        </is>
      </c>
      <c r="F48" s="2" t="inlineStr">
        <is>
          <t>ARO-The Scientific Journal of Koya University</t>
        </is>
      </c>
      <c r="G48" s="2" t="inlineStr">
        <is>
          <t>10.14500/aro.12395</t>
        </is>
      </c>
      <c r="H48" s="2" t="inlineStr">
        <is>
          <t>Include</t>
        </is>
      </c>
      <c r="I48" s="2" t="inlineStr">
        <is>
          <t>Include</t>
        </is>
      </c>
      <c r="J48" s="2" t="inlineStr">
        <is>
          <t>INC</t>
        </is>
      </c>
      <c r="K48" s="2" t="inlineStr">
        <is>
          <t>Six LLMs vs. Pylint/Flake8 on 27 Python code violations, with three prompting strategies.</t>
        </is>
      </c>
    </row>
    <row r="49">
      <c r="A49" s="2" t="n">
        <v>48</v>
      </c>
      <c r="B49" s="2" t="inlineStr">
        <is>
          <t>A042</t>
        </is>
      </c>
      <c r="C49" s="2" t="inlineStr">
        <is>
          <t>Alraba’nah et al.</t>
        </is>
      </c>
      <c r="D49" s="2" t="inlineStr">
        <is>
          <t>2026</t>
        </is>
      </c>
      <c r="E49" s="2" t="inlineStr">
        <is>
          <t>Code Generation by Large Language Models: A Comparative Analysis of ChatGPT, Claude, and DeepSeek</t>
        </is>
      </c>
      <c r="F49" s="2" t="inlineStr">
        <is>
          <t>International Journal of Electrical and Electronic Engineering and Telecommunications</t>
        </is>
      </c>
      <c r="G49" s="2" t="inlineStr">
        <is>
          <t>10.18178/ijeetc.15.1.19-28</t>
        </is>
      </c>
      <c r="H49" s="2" t="inlineStr">
        <is>
          <t>Exclude</t>
        </is>
      </c>
      <c r="I49" s="2" t="inlineStr">
        <is>
          <t>Not assessed</t>
        </is>
      </c>
      <c r="J49" s="2" t="inlineStr">
        <is>
          <t>E1b</t>
        </is>
      </c>
      <c r="K49" s="2" t="inlineStr">
        <is>
          <t>ChatGPT, Claude, and DeepSeek on Python sorting algorithms with runtime metrics; functional performance only.</t>
        </is>
      </c>
    </row>
    <row r="50">
      <c r="A50" s="2" t="n">
        <v>49</v>
      </c>
      <c r="B50" s="2" t="inlineStr">
        <is>
          <t>A043</t>
        </is>
      </c>
      <c r="C50" s="2" t="inlineStr">
        <is>
          <t>Alami et al.</t>
        </is>
      </c>
      <c r="D50" s="2" t="inlineStr">
        <is>
          <t>2025</t>
        </is>
      </c>
      <c r="E50" s="2" t="inlineStr">
        <is>
          <t>Accountability in Code Review: The Role of Intrinsic Drivers and the Impact of LLMs</t>
        </is>
      </c>
      <c r="F50" s="2" t="inlineStr">
        <is>
          <t>ACM Transactions on Software Engineering and Methodology</t>
        </is>
      </c>
      <c r="G50" s="2" t="inlineStr">
        <is>
          <t>10.1145/3721127</t>
        </is>
      </c>
      <c r="H50" s="2" t="inlineStr">
        <is>
          <t>Exclude</t>
        </is>
      </c>
      <c r="I50" s="2" t="inlineStr">
        <is>
          <t>Not assessed</t>
        </is>
      </c>
      <c r="J50" s="2" t="inlineStr">
        <is>
          <t>E1a</t>
        </is>
      </c>
      <c r="K50" s="2" t="inlineStr">
        <is>
          <t>Qualitative study of accountability in LLM-assisted code review; human factors, no AI-TD metrics.</t>
        </is>
      </c>
    </row>
    <row r="51">
      <c r="A51" s="2" t="n">
        <v>50</v>
      </c>
      <c r="B51" s="2" t="inlineStr">
        <is>
          <t>A044</t>
        </is>
      </c>
      <c r="C51" s="2" t="inlineStr">
        <is>
          <t>Lin et al.</t>
        </is>
      </c>
      <c r="D51" s="2" t="inlineStr">
        <is>
          <t>2025</t>
        </is>
      </c>
      <c r="E51" s="2" t="inlineStr">
        <is>
          <t>Open Source AI-based SE Tools: Opportunities and Challenges of Collaborative Software Learning</t>
        </is>
      </c>
      <c r="F51" s="2" t="inlineStr">
        <is>
          <t>ACM Transactions on Software Engineering and Methodology</t>
        </is>
      </c>
      <c r="G51" s="2" t="inlineStr">
        <is>
          <t>10.1145/3708529</t>
        </is>
      </c>
      <c r="H51" s="2" t="inlineStr">
        <is>
          <t>Exclude</t>
        </is>
      </c>
      <c r="I51" s="2" t="inlineStr">
        <is>
          <t>Not assessed</t>
        </is>
      </c>
      <c r="J51" s="2" t="inlineStr">
        <is>
          <t>E1a</t>
        </is>
      </c>
      <c r="K51" s="2" t="inlineStr">
        <is>
          <t>Federated-learning framework for open-source AI-based SE tools; data governance, no AI-TD.</t>
        </is>
      </c>
    </row>
    <row r="52">
      <c r="A52" s="2" t="n">
        <v>51</v>
      </c>
      <c r="B52" s="2" t="inlineStr">
        <is>
          <t>A045</t>
        </is>
      </c>
      <c r="C52" s="2" t="inlineStr">
        <is>
          <t>Gheventer et al.</t>
        </is>
      </c>
      <c r="D52" s="2" t="inlineStr">
        <is>
          <t>2026</t>
        </is>
      </c>
      <c r="E52" s="2" t="inlineStr">
        <is>
          <t>Generative AI solutions for software quality: Assessing industrial readiness</t>
        </is>
      </c>
      <c r="F52" s="2" t="inlineStr">
        <is>
          <t>Software Quality Journal</t>
        </is>
      </c>
      <c r="G52" s="2" t="inlineStr">
        <is>
          <t>10.1007/s11219-026-09754-7</t>
        </is>
      </c>
      <c r="H52" s="2" t="inlineStr">
        <is>
          <t>Include</t>
        </is>
      </c>
      <c r="I52" s="2" t="inlineStr">
        <is>
          <t>Include</t>
        </is>
      </c>
      <c r="J52" s="2" t="inlineStr">
        <is>
          <t>INC</t>
        </is>
      </c>
      <c r="K52" s="2" t="inlineStr">
        <is>
          <t>Rapid multivocal review of 24 GenAI solutions for software quality and their industrial readiness.</t>
        </is>
      </c>
    </row>
    <row r="53">
      <c r="A53" s="2" t="n">
        <v>52</v>
      </c>
      <c r="B53" s="2" t="inlineStr">
        <is>
          <t>A046</t>
        </is>
      </c>
      <c r="C53" s="2" t="inlineStr">
        <is>
          <t>Fawareh et al.</t>
        </is>
      </c>
      <c r="D53" s="2" t="inlineStr">
        <is>
          <t>2025</t>
        </is>
      </c>
      <c r="E53" s="2" t="inlineStr">
        <is>
          <t>Comparing Open Source with Software Code Generated by AI Tools from Software Maintainability Quality Factor Perspective</t>
        </is>
      </c>
      <c r="F53" s="2" t="inlineStr">
        <is>
          <t>WSEAS Transactions on Computer Research</t>
        </is>
      </c>
      <c r="G53" s="2" t="inlineStr">
        <is>
          <t>10.37394/232018.2025.13.58</t>
        </is>
      </c>
      <c r="H53" s="2" t="inlineStr">
        <is>
          <t>Include</t>
        </is>
      </c>
      <c r="I53" s="2" t="inlineStr">
        <is>
          <t>Include</t>
        </is>
      </c>
      <c r="J53" s="2" t="inlineStr">
        <is>
          <t>INC</t>
        </is>
      </c>
      <c r="K53" s="2" t="inlineStr">
        <is>
          <t>ChatGPT vs. open-source code compared on maintainability metrics (MI, CC, Halstead).</t>
        </is>
      </c>
    </row>
    <row r="54">
      <c r="A54" s="2" t="n">
        <v>53</v>
      </c>
      <c r="B54" s="2" t="inlineStr">
        <is>
          <t>A047</t>
        </is>
      </c>
      <c r="C54" s="2" t="inlineStr">
        <is>
          <t>Yang</t>
        </is>
      </c>
      <c r="D54" s="2" t="inlineStr">
        <is>
          <t>2025</t>
        </is>
      </c>
      <c r="E54" s="2" t="inlineStr">
        <is>
          <t>CTQRS-Based Reinforcement Learning Framework for Reliable Bug Report Generation Using Open-Source Large Language Models</t>
        </is>
      </c>
      <c r="F54" s="2" t="inlineStr">
        <is>
          <t>Applied Sciences (Switzerland)</t>
        </is>
      </c>
      <c r="G54" s="2" t="inlineStr">
        <is>
          <t>10.3390/app152312545</t>
        </is>
      </c>
      <c r="H54" s="2" t="inlineStr">
        <is>
          <t>Exclude</t>
        </is>
      </c>
      <c r="I54" s="2" t="inlineStr">
        <is>
          <t>Not assessed</t>
        </is>
      </c>
      <c r="J54" s="2" t="inlineStr">
        <is>
          <t>E1a</t>
        </is>
      </c>
      <c r="K54" s="2" t="inlineStr">
        <is>
          <t>Reinforcement-learning framework for bug-report generation; NLP for QA documentation.</t>
        </is>
      </c>
    </row>
    <row r="55">
      <c r="A55" s="2" t="n">
        <v>54</v>
      </c>
      <c r="B55" s="2" t="inlineStr">
        <is>
          <t>A048</t>
        </is>
      </c>
      <c r="C55" s="2" t="inlineStr">
        <is>
          <t>Widyasari et al.</t>
        </is>
      </c>
      <c r="D55" s="2" t="inlineStr">
        <is>
          <t>2025</t>
        </is>
      </c>
      <c r="E55" s="2" t="inlineStr">
        <is>
          <t>Explaining Explanations: An Empirical Study of Explanations in Code Reviews</t>
        </is>
      </c>
      <c r="F55" s="2" t="inlineStr">
        <is>
          <t>ACM Transactions on Software Engineering and Methodology</t>
        </is>
      </c>
      <c r="G55" s="2" t="inlineStr">
        <is>
          <t>10.1145/3708518</t>
        </is>
      </c>
      <c r="H55" s="2" t="inlineStr">
        <is>
          <t>Exclude</t>
        </is>
      </c>
      <c r="I55" s="2" t="inlineStr">
        <is>
          <t>Not assessed</t>
        </is>
      </c>
      <c r="J55" s="2" t="inlineStr">
        <is>
          <t>E1a</t>
        </is>
      </c>
      <c r="K55" s="2" t="inlineStr">
        <is>
          <t>Taxonomy of explanations in code-review comments; review communication, no AI-TD.</t>
        </is>
      </c>
    </row>
    <row r="56">
      <c r="A56" s="2" t="n">
        <v>55</v>
      </c>
      <c r="B56" s="2" t="inlineStr">
        <is>
          <t>A049</t>
        </is>
      </c>
      <c r="C56" s="2" t="inlineStr">
        <is>
          <t>Wang et al.</t>
        </is>
      </c>
      <c r="D56" s="2" t="inlineStr">
        <is>
          <t>2025</t>
        </is>
      </c>
      <c r="E56" s="2" t="inlineStr">
        <is>
          <t>Cost-Sensitive Hypergraph Learning With Structure Quality Preservation for IoT Software Defect Prediction</t>
        </is>
      </c>
      <c r="F56" s="2" t="inlineStr">
        <is>
          <t>IEEE Open Journal of the Communications Society</t>
        </is>
      </c>
      <c r="G56" s="2" t="inlineStr">
        <is>
          <t>10.1109/ojcoms.2024.3514774</t>
        </is>
      </c>
      <c r="H56" s="2" t="inlineStr">
        <is>
          <t>Exclude</t>
        </is>
      </c>
      <c r="I56" s="2" t="inlineStr">
        <is>
          <t>Not assessed</t>
        </is>
      </c>
      <c r="J56" s="2" t="inlineStr">
        <is>
          <t>E1c</t>
        </is>
      </c>
      <c r="K56" s="2" t="inlineStr">
        <is>
          <t>Hypergraph learning for IoT software defect prediction; classical ML in an unrelated domain.</t>
        </is>
      </c>
    </row>
    <row r="57">
      <c r="A57" s="2" t="n">
        <v>56</v>
      </c>
      <c r="B57" s="2" t="inlineStr">
        <is>
          <t>A050</t>
        </is>
      </c>
      <c r="C57" s="2" t="inlineStr">
        <is>
          <t>Huang &amp; Tseng</t>
        </is>
      </c>
      <c r="D57" s="2" t="inlineStr">
        <is>
          <t>2026</t>
        </is>
      </c>
      <c r="E57" s="2" t="inlineStr">
        <is>
          <t>Learning, Behavior, and Pedagogy: A Systematic Review of Generative AI Use in Programming Education</t>
        </is>
      </c>
      <c r="F57" s="2" t="inlineStr">
        <is>
          <t>International Journal of Information and Education Technology</t>
        </is>
      </c>
      <c r="G57" s="2" t="inlineStr">
        <is>
          <t>10.18178/ijiet.2026.16.1.2487</t>
        </is>
      </c>
      <c r="H57" s="2" t="inlineStr">
        <is>
          <t>Exclude</t>
        </is>
      </c>
      <c r="I57" s="2" t="inlineStr">
        <is>
          <t>Not assessed</t>
        </is>
      </c>
      <c r="J57" s="2" t="inlineStr">
        <is>
          <t>E1a</t>
        </is>
      </c>
      <c r="K57" s="2" t="inlineStr">
        <is>
          <t>SLR of generative AI in programming education; learning outcomes, no AI-TD.</t>
        </is>
      </c>
    </row>
    <row r="58">
      <c r="A58" s="2" t="n">
        <v>57</v>
      </c>
      <c r="B58" s="2" t="inlineStr">
        <is>
          <t>A051</t>
        </is>
      </c>
      <c r="C58" s="2" t="inlineStr">
        <is>
          <t>Eagal et al.</t>
        </is>
      </c>
      <c r="D58" s="2" t="inlineStr">
        <is>
          <t>2025</t>
        </is>
      </c>
      <c r="E58" s="2" t="inlineStr">
        <is>
          <t>Analyzing the dependability of Large Language Models for code clone generation</t>
        </is>
      </c>
      <c r="F58" s="2" t="inlineStr">
        <is>
          <t>Journal of Systems and Software</t>
        </is>
      </c>
      <c r="G58" s="2" t="inlineStr">
        <is>
          <t>10.1016/j.jss.2025.112548</t>
        </is>
      </c>
      <c r="H58" s="2" t="inlineStr">
        <is>
          <t>Exclude</t>
        </is>
      </c>
      <c r="I58" s="2" t="inlineStr">
        <is>
          <t>Not assessed</t>
        </is>
      </c>
      <c r="J58" s="2" t="inlineStr">
        <is>
          <t>E1b</t>
        </is>
      </c>
      <c r="K58" s="2" t="inlineStr">
        <is>
          <t>Dependability of LLMs for code-clone generation (LeetCode); functional equivalence, no AI-TD.</t>
        </is>
      </c>
    </row>
    <row r="59">
      <c r="A59" s="2" t="n">
        <v>58</v>
      </c>
      <c r="B59" s="2" t="inlineStr">
        <is>
          <t>A052</t>
        </is>
      </c>
      <c r="C59" s="2" t="inlineStr">
        <is>
          <t>Patcas &amp; Motogna</t>
        </is>
      </c>
      <c r="D59" s="2" t="inlineStr">
        <is>
          <t>2026</t>
        </is>
      </c>
      <c r="E59" s="2" t="inlineStr">
        <is>
          <t>An evaluation study of large language models for addressing code quality issues</t>
        </is>
      </c>
      <c r="F59" s="2" t="inlineStr">
        <is>
          <t>Empirical Software Engineering</t>
        </is>
      </c>
      <c r="G59" s="2" t="inlineStr">
        <is>
          <t>10.1007/s10664-026-10858-8</t>
        </is>
      </c>
      <c r="H59" s="2" t="inlineStr">
        <is>
          <t>Include</t>
        </is>
      </c>
      <c r="I59" s="2" t="inlineStr">
        <is>
          <t>Include</t>
        </is>
      </c>
      <c r="J59" s="2" t="inlineStr">
        <is>
          <t>INC</t>
        </is>
      </c>
      <c r="K59" s="2" t="inlineStr">
        <is>
          <t>Six LLMs automatically repairing SonarQube issues in real Python projects.</t>
        </is>
      </c>
    </row>
    <row r="60">
      <c r="A60" s="2" t="n">
        <v>59</v>
      </c>
      <c r="B60" s="2" t="inlineStr">
        <is>
          <t>A053</t>
        </is>
      </c>
      <c r="C60" s="2" t="inlineStr">
        <is>
          <t>Tosi</t>
        </is>
      </c>
      <c r="D60" s="2" t="inlineStr">
        <is>
          <t>2024</t>
        </is>
      </c>
      <c r="E60" s="2" t="inlineStr">
        <is>
          <t>Studying the Quality of Source Code Generated by Different AI Generative Engines: An Empirical Evaluation</t>
        </is>
      </c>
      <c r="F60" s="2" t="inlineStr">
        <is>
          <t>Future Internet</t>
        </is>
      </c>
      <c r="G60" s="2" t="inlineStr">
        <is>
          <t>10.3390/fi16060188</t>
        </is>
      </c>
      <c r="H60" s="2" t="inlineStr">
        <is>
          <t>Include</t>
        </is>
      </c>
      <c r="I60" s="2" t="inlineStr">
        <is>
          <t>Include</t>
        </is>
      </c>
      <c r="J60" s="2" t="inlineStr">
        <is>
          <t>INC</t>
        </is>
      </c>
      <c r="K60" s="2" t="inlineStr">
        <is>
          <t>Quality of LLM-generated solutions to university Java exam problems, assessed with software metrics.</t>
        </is>
      </c>
    </row>
    <row r="61">
      <c r="A61" s="2" t="n">
        <v>60</v>
      </c>
      <c r="B61" s="2" t="inlineStr">
        <is>
          <t>A054</t>
        </is>
      </c>
      <c r="C61" s="2" t="inlineStr">
        <is>
          <t>Dallilo et al.</t>
        </is>
      </c>
      <c r="D61" s="2" t="inlineStr">
        <is>
          <t>2026</t>
        </is>
      </c>
      <c r="E61" s="2" t="inlineStr">
        <is>
          <t>Innovating proficiency testing in software: a digital process with LLM-integrated support tool and automated indicators</t>
        </is>
      </c>
      <c r="F61" s="2" t="inlineStr">
        <is>
          <t>Software Quality Journal</t>
        </is>
      </c>
      <c r="G61" s="2" t="inlineStr">
        <is>
          <t>10.1007/s11219-026-09762-7</t>
        </is>
      </c>
      <c r="H61" s="2" t="inlineStr">
        <is>
          <t>Exclude</t>
        </is>
      </c>
      <c r="I61" s="2" t="inlineStr">
        <is>
          <t>Not assessed</t>
        </is>
      </c>
      <c r="J61" s="2" t="inlineStr">
        <is>
          <t>E1a</t>
        </is>
      </c>
      <c r="K61" s="2" t="inlineStr">
        <is>
          <t>LLM-integrated proficiency-testing process for software teams; competence assessment, no AI-TD.</t>
        </is>
      </c>
    </row>
    <row r="62">
      <c r="A62" s="2" t="n">
        <v>61</v>
      </c>
      <c r="B62" s="2" t="inlineStr">
        <is>
          <t>A055</t>
        </is>
      </c>
      <c r="C62" s="2" t="inlineStr">
        <is>
          <t>Li et al.</t>
        </is>
      </c>
      <c r="D62" s="2" t="inlineStr">
        <is>
          <t>2025</t>
        </is>
      </c>
      <c r="E62" s="2" t="inlineStr">
        <is>
          <t>Large language model ChatGPT versus small deep learning models for self-admitted technical debt detection: Why not together?</t>
        </is>
      </c>
      <c r="F62" s="2" t="inlineStr">
        <is>
          <t>Software - Practice and Experience</t>
        </is>
      </c>
      <c r="G62" s="2" t="inlineStr">
        <is>
          <t>10.1002/spe.3360</t>
        </is>
      </c>
      <c r="H62" s="2" t="inlineStr">
        <is>
          <t>Include</t>
        </is>
      </c>
      <c r="I62" s="2" t="inlineStr">
        <is>
          <t>Not retrieved</t>
        </is>
      </c>
      <c r="J62" s="2" t="inlineStr">
        <is>
          <t>FT-NR</t>
        </is>
      </c>
      <c r="K62" s="2" t="inlineStr">
        <is>
          <t>ChatGPT vs. small DL models for SATD detection; included at title/abstract, full text not retrievable.</t>
        </is>
      </c>
    </row>
    <row r="63">
      <c r="A63" s="2" t="n">
        <v>62</v>
      </c>
      <c r="B63" s="2" t="inlineStr">
        <is>
          <t>A056</t>
        </is>
      </c>
      <c r="C63" s="2" t="inlineStr">
        <is>
          <t>Ait Hsain et al.</t>
        </is>
      </c>
      <c r="D63" s="2" t="inlineStr">
        <is>
          <t>2025</t>
        </is>
      </c>
      <c r="E63" s="2" t="inlineStr">
        <is>
          <t>SCEditor-Web: Bridging Model-Driven Engineering and Generative AI for Smart Contract Development</t>
        </is>
      </c>
      <c r="F63" s="2" t="inlineStr">
        <is>
          <t>Information (Switzerland)</t>
        </is>
      </c>
      <c r="G63" s="2" t="inlineStr">
        <is>
          <t>10.3390/info16100870</t>
        </is>
      </c>
      <c r="H63" s="2" t="inlineStr">
        <is>
          <t>Exclude</t>
        </is>
      </c>
      <c r="I63" s="2" t="inlineStr">
        <is>
          <t>Not assessed</t>
        </is>
      </c>
      <c r="J63" s="2" t="inlineStr">
        <is>
          <t>E1c</t>
        </is>
      </c>
      <c r="K63" s="2" t="inlineStr">
        <is>
          <t>Model-driven engineering + GenAI for Solidity smart contracts; blockchain domain.</t>
        </is>
      </c>
    </row>
    <row r="64">
      <c r="A64" s="2" t="n">
        <v>63</v>
      </c>
      <c r="B64" s="2" t="inlineStr">
        <is>
          <t>A057</t>
        </is>
      </c>
      <c r="C64" s="2" t="inlineStr">
        <is>
          <t>Sun et al.</t>
        </is>
      </c>
      <c r="D64" s="2" t="inlineStr">
        <is>
          <t>2026</t>
        </is>
      </c>
      <c r="E64" s="2" t="inlineStr">
        <is>
          <t>Quality assurance of LLM-generated code: Addressing non-functional quality characteristics</t>
        </is>
      </c>
      <c r="F64" s="2" t="inlineStr">
        <is>
          <t>Journal of Systems and Software</t>
        </is>
      </c>
      <c r="G64" s="2" t="inlineStr">
        <is>
          <t>10.1016/j.jss.2026.112885</t>
        </is>
      </c>
      <c r="H64" s="2" t="inlineStr">
        <is>
          <t>Include</t>
        </is>
      </c>
      <c r="I64" s="2" t="inlineStr">
        <is>
          <t>Include</t>
        </is>
      </c>
      <c r="J64" s="2" t="inlineStr">
        <is>
          <t>INC</t>
        </is>
      </c>
      <c r="K64" s="2" t="inlineStr">
        <is>
          <t>Multi-method study (ISO/IEC 25010) of non-functional quality characteristics of LLM-generated patches.</t>
        </is>
      </c>
    </row>
    <row r="65">
      <c r="A65" s="2" t="n">
        <v>64</v>
      </c>
      <c r="B65" s="2" t="inlineStr">
        <is>
          <t>A058</t>
        </is>
      </c>
      <c r="C65" s="2" t="inlineStr">
        <is>
          <t>Karabiyik</t>
        </is>
      </c>
      <c r="D65" s="2" t="inlineStr">
        <is>
          <t>2025</t>
        </is>
      </c>
      <c r="E65" s="2" t="inlineStr">
        <is>
          <t>RefactorGPT: a ChatGPT-based multi-agent framework for automated code refactoring</t>
        </is>
      </c>
      <c r="F65" s="2" t="inlineStr">
        <is>
          <t>PeerJ Computer Science</t>
        </is>
      </c>
      <c r="G65" s="2" t="inlineStr">
        <is>
          <t>10.7717/peerj-cs.3257</t>
        </is>
      </c>
      <c r="H65" s="2" t="inlineStr">
        <is>
          <t>Maybe</t>
        </is>
      </c>
      <c r="I65" s="2" t="inlineStr">
        <is>
          <t>Include</t>
        </is>
      </c>
      <c r="J65" s="2" t="inlineStr">
        <is>
          <t>INC</t>
        </is>
      </c>
      <c r="K65" s="2" t="inlineStr">
        <is>
          <t>ChatGPT multi-agent refactoring framework (RefactorGPT); included at full text with a small-sample caveat.</t>
        </is>
      </c>
    </row>
    <row r="66">
      <c r="A66" s="2" t="n">
        <v>65</v>
      </c>
      <c r="B66" s="2" t="inlineStr">
        <is>
          <t>A059</t>
        </is>
      </c>
      <c r="C66" s="2" t="inlineStr">
        <is>
          <t>Dechtiar et al.</t>
        </is>
      </c>
      <c r="D66" s="2" t="inlineStr">
        <is>
          <t>2025</t>
        </is>
      </c>
      <c r="E66" s="2" t="inlineStr">
        <is>
          <t>Software engineering meets legal texts: LLMs for auto detection of contract smells</t>
        </is>
      </c>
      <c r="F66" s="2" t="inlineStr">
        <is>
          <t>Machine Learning with Applications</t>
        </is>
      </c>
      <c r="G66" s="2" t="inlineStr">
        <is>
          <t>10.1016/j.mlwa.2025.100639</t>
        </is>
      </c>
      <c r="H66" s="2" t="inlineStr">
        <is>
          <t>Exclude</t>
        </is>
      </c>
      <c r="I66" s="2" t="inlineStr">
        <is>
          <t>Not assessed</t>
        </is>
      </c>
      <c r="J66" s="2" t="inlineStr">
        <is>
          <t>E1c</t>
        </is>
      </c>
      <c r="K66" s="2" t="inlineStr">
        <is>
          <t>Detection of contract smells in legal texts; legal-AI domain.</t>
        </is>
      </c>
    </row>
    <row r="67">
      <c r="A67" s="2" t="n">
        <v>66</v>
      </c>
      <c r="B67" s="2" t="inlineStr">
        <is>
          <t>A060</t>
        </is>
      </c>
      <c r="C67" s="2" t="inlineStr">
        <is>
          <t>Rizzi et al.</t>
        </is>
      </c>
      <c r="D67" s="2" t="inlineStr">
        <is>
          <t>2025</t>
        </is>
      </c>
      <c r="E67" s="2" t="inlineStr">
        <is>
          <t>Conceptual design of multidimensional cubes with LLMs: An investigation</t>
        </is>
      </c>
      <c r="F67" s="2" t="inlineStr">
        <is>
          <t>Data and Knowledge Engineering</t>
        </is>
      </c>
      <c r="G67" s="2" t="inlineStr">
        <is>
          <t>10.1016/j.datak.2025.102452</t>
        </is>
      </c>
      <c r="H67" s="2" t="inlineStr">
        <is>
          <t>Exclude</t>
        </is>
      </c>
      <c r="I67" s="2" t="inlineStr">
        <is>
          <t>Not assessed</t>
        </is>
      </c>
      <c r="J67" s="2" t="inlineStr">
        <is>
          <t>E1c</t>
        </is>
      </c>
      <c r="K67" s="2" t="inlineStr">
        <is>
          <t>ChatGPT for conceptual design of multidimensional cubes (data warehousing); OLAP domain.</t>
        </is>
      </c>
    </row>
    <row r="68">
      <c r="A68" s="2" t="n">
        <v>67</v>
      </c>
      <c r="B68" s="2" t="inlineStr">
        <is>
          <t>A061</t>
        </is>
      </c>
      <c r="C68" s="2" t="inlineStr">
        <is>
          <t>Tkachuk</t>
        </is>
      </c>
      <c r="D68" s="2" t="inlineStr">
        <is>
          <t>2025</t>
        </is>
      </c>
      <c r="E68" s="2" t="inlineStr">
        <is>
          <t>DETERMINING THE CAPABILITIES OF GENERATIVE ARTIFICIAL INTELLIGENCE TOOLS TO INCREASE THE EFFICIENCY OF REFACTORING PROCESS</t>
        </is>
      </c>
      <c r="F68" s="2" t="inlineStr">
        <is>
          <t>Technology Audit and Production Reserves</t>
        </is>
      </c>
      <c r="G68" s="2" t="inlineStr">
        <is>
          <t>10.15587/2706-5448.2025.326899</t>
        </is>
      </c>
      <c r="H68" s="2" t="inlineStr">
        <is>
          <t>Include</t>
        </is>
      </c>
      <c r="I68" s="2" t="inlineStr">
        <is>
          <t>Include</t>
        </is>
      </c>
      <c r="J68" s="2" t="inlineStr">
        <is>
          <t>INC</t>
        </is>
      </c>
      <c r="K68" s="2" t="inlineStr">
        <is>
          <t>Comparison of four GenAI tools for refactoring tasks; included with a methodological caveat.</t>
        </is>
      </c>
    </row>
    <row r="69">
      <c r="A69" s="2" t="n">
        <v>68</v>
      </c>
      <c r="B69" s="2" t="inlineStr">
        <is>
          <t>A062</t>
        </is>
      </c>
      <c r="C69" s="2" t="inlineStr">
        <is>
          <t>Pendyala &amp; Thakur</t>
        </is>
      </c>
      <c r="D69" s="2" t="inlineStr">
        <is>
          <t>2025</t>
        </is>
      </c>
      <c r="E69" s="2" t="inlineStr">
        <is>
          <t>Performance and interpretability analysis of code generation large language models</t>
        </is>
      </c>
      <c r="F69" s="2" t="inlineStr">
        <is>
          <t>Neurocomputing</t>
        </is>
      </c>
      <c r="G69" s="2" t="inlineStr">
        <is>
          <t>10.1016/j.neucom.2025.131461</t>
        </is>
      </c>
      <c r="H69" s="2" t="inlineStr">
        <is>
          <t>Exclude</t>
        </is>
      </c>
      <c r="I69" s="2" t="inlineStr">
        <is>
          <t>Not assessed</t>
        </is>
      </c>
      <c r="J69" s="2" t="inlineStr">
        <is>
          <t>E1b</t>
        </is>
      </c>
      <c r="K69" s="2" t="inlineStr">
        <is>
          <t>Benchmark of 15 open-source LLMs for code translation/generation (CodeBLEU, chrF); model performance only.</t>
        </is>
      </c>
    </row>
    <row r="70">
      <c r="A70" s="2" t="n">
        <v>69</v>
      </c>
      <c r="B70" s="2" t="inlineStr">
        <is>
          <t>A063</t>
        </is>
      </c>
      <c r="C70" s="2" t="inlineStr">
        <is>
          <t>Quattrocchi et al.</t>
        </is>
      </c>
      <c r="D70" s="2" t="inlineStr">
        <is>
          <t>2026</t>
        </is>
      </c>
      <c r="E70" s="2" t="inlineStr">
        <is>
          <t>Can LLMs Generate User Stories and Assess Their Quality?</t>
        </is>
      </c>
      <c r="F70" s="2" t="inlineStr">
        <is>
          <t>IEEE Transactions on Software Engineering</t>
        </is>
      </c>
      <c r="G70" s="2" t="inlineStr">
        <is>
          <t>10.1109/tse.2026.3670612</t>
        </is>
      </c>
      <c r="H70" s="2" t="inlineStr">
        <is>
          <t>Exclude</t>
        </is>
      </c>
      <c r="I70" s="2" t="inlineStr">
        <is>
          <t>Not assessed</t>
        </is>
      </c>
      <c r="J70" s="2" t="inlineStr">
        <is>
          <t>E1a</t>
        </is>
      </c>
      <c r="K70" s="2" t="inlineStr">
        <is>
          <t>LLMs generating and assessing user stories; requirements elicitation.</t>
        </is>
      </c>
    </row>
    <row r="71">
      <c r="A71" s="2" t="n">
        <v>70</v>
      </c>
      <c r="B71" s="2" t="inlineStr">
        <is>
          <t>A064</t>
        </is>
      </c>
      <c r="C71" s="2" t="inlineStr">
        <is>
          <t>İçöz &amp; Biricik</t>
        </is>
      </c>
      <c r="D71" s="2" t="inlineStr">
        <is>
          <t>2026</t>
        </is>
      </c>
      <c r="E71" s="2" t="inlineStr">
        <is>
          <t>Context-Aware Code Review Automation: A Retrieval-Augmented Approach</t>
        </is>
      </c>
      <c r="F71" s="2" t="inlineStr">
        <is>
          <t>Applied Sciences (Switzerland)</t>
        </is>
      </c>
      <c r="G71" s="2" t="inlineStr">
        <is>
          <t>10.3390/app16041875</t>
        </is>
      </c>
      <c r="H71" s="2" t="inlineStr">
        <is>
          <t>Exclude</t>
        </is>
      </c>
      <c r="I71" s="2" t="inlineStr">
        <is>
          <t>Not assessed</t>
        </is>
      </c>
      <c r="J71" s="2" t="inlineStr">
        <is>
          <t>E1a</t>
        </is>
      </c>
      <c r="K71" s="2" t="inlineStr">
        <is>
          <t>LLM + RAG automation of code-review comments; no AI-TD measurement.</t>
        </is>
      </c>
    </row>
    <row r="72">
      <c r="A72" s="2" t="n">
        <v>71</v>
      </c>
      <c r="B72" s="2" t="inlineStr">
        <is>
          <t>A065</t>
        </is>
      </c>
      <c r="C72" s="2" t="inlineStr">
        <is>
          <t>Wang et al.</t>
        </is>
      </c>
      <c r="D72" s="2" t="inlineStr">
        <is>
          <t>2025</t>
        </is>
      </c>
      <c r="E72" s="2" t="inlineStr">
        <is>
          <t>Large Language Model Supply Chain: A Research Agenda</t>
        </is>
      </c>
      <c r="F72" s="2" t="inlineStr">
        <is>
          <t>ACM Transactions on Software Engineering and Methodology</t>
        </is>
      </c>
      <c r="G72" s="2" t="inlineStr">
        <is>
          <t>10.1145/3708531</t>
        </is>
      </c>
      <c r="H72" s="2" t="inlineStr">
        <is>
          <t>Exclude</t>
        </is>
      </c>
      <c r="I72" s="2" t="inlineStr">
        <is>
          <t>Not assessed</t>
        </is>
      </c>
      <c r="J72" s="2" t="inlineStr">
        <is>
          <t>E1d</t>
        </is>
      </c>
      <c r="K72" s="2" t="inlineStr">
        <is>
          <t>Research agenda on the LLM supply chain; ecosystem level, no AI-TD evidence.</t>
        </is>
      </c>
    </row>
    <row r="73">
      <c r="A73" s="2" t="n">
        <v>72</v>
      </c>
      <c r="B73" s="2" t="inlineStr">
        <is>
          <t>A075</t>
        </is>
      </c>
      <c r="C73" s="2" t="inlineStr">
        <is>
          <t>Monsef &amp; Ashtiani</t>
        </is>
      </c>
      <c r="D73" s="2" t="inlineStr">
        <is>
          <t>2026</t>
        </is>
      </c>
      <c r="E73" s="2" t="inlineStr">
        <is>
          <t>Detecting Microservice's Architectural Anti-Pattern Indicators Using Graph Neural Networks</t>
        </is>
      </c>
      <c r="F73" s="2" t="inlineStr">
        <is>
          <t>Software - Practice and Experience</t>
        </is>
      </c>
      <c r="G73" s="2" t="inlineStr">
        <is>
          <t>10.1002/spe.70035</t>
        </is>
      </c>
      <c r="H73" s="2" t="inlineStr">
        <is>
          <t>Include</t>
        </is>
      </c>
      <c r="I73" s="2" t="inlineStr">
        <is>
          <t>Not retrieved</t>
        </is>
      </c>
      <c r="J73" s="2" t="inlineStr">
        <is>
          <t>FT-NR</t>
        </is>
      </c>
      <c r="K73" s="2" t="inlineStr">
        <is>
          <t>GNN + LLM detection of microservice architectural anti-patterns; included at title/abstract, full text not retrievable.</t>
        </is>
      </c>
    </row>
    <row r="74">
      <c r="A74" s="2" t="n">
        <v>73</v>
      </c>
      <c r="B74" s="2" t="inlineStr">
        <is>
          <t>A076</t>
        </is>
      </c>
      <c r="C74" s="2" t="inlineStr">
        <is>
          <t>Bhandari et al.</t>
        </is>
      </c>
      <c r="D74" s="2" t="inlineStr">
        <is>
          <t>2025</t>
        </is>
      </c>
      <c r="E74" s="2" t="inlineStr">
        <is>
          <t>Generating vulnerability security fixes with Code Language Models</t>
        </is>
      </c>
      <c r="F74" s="2" t="inlineStr">
        <is>
          <t>Information and Software Technology</t>
        </is>
      </c>
      <c r="G74" s="2" t="inlineStr">
        <is>
          <t>10.1016/j.infsof.2025.107786</t>
        </is>
      </c>
      <c r="H74" s="2" t="inlineStr">
        <is>
          <t>Exclude</t>
        </is>
      </c>
      <c r="I74" s="2" t="inlineStr">
        <is>
          <t>Not assessed</t>
        </is>
      </c>
      <c r="J74" s="2" t="inlineStr">
        <is>
          <t>E1c</t>
        </is>
      </c>
      <c r="K74" s="2" t="inlineStr">
        <is>
          <t>Code language models generating CVE security patches; vulnerability repair, not AI-TD.</t>
        </is>
      </c>
    </row>
    <row r="75">
      <c r="A75" s="2" t="n">
        <v>74</v>
      </c>
      <c r="B75" s="2" t="inlineStr">
        <is>
          <t>A077</t>
        </is>
      </c>
      <c r="C75" s="2" t="inlineStr">
        <is>
          <t>Lisaru &amp; Kifor</t>
        </is>
      </c>
      <c r="D75" s="2" t="inlineStr">
        <is>
          <t>2026</t>
        </is>
      </c>
      <c r="E75" s="2" t="inlineStr">
        <is>
          <t>Artificial Intelligence in Software Testing and Beyond: A Review of Current Practices and Emerging Challenges</t>
        </is>
      </c>
      <c r="F75" s="2" t="inlineStr">
        <is>
          <t>Acta Informatica Pragensia</t>
        </is>
      </c>
      <c r="G75" s="2" t="inlineStr">
        <is>
          <t>10.18267/j.aip.303</t>
        </is>
      </c>
      <c r="H75" s="2" t="inlineStr">
        <is>
          <t>Exclude</t>
        </is>
      </c>
      <c r="I75" s="2" t="inlineStr">
        <is>
          <t>Not assessed</t>
        </is>
      </c>
      <c r="J75" s="2" t="inlineStr">
        <is>
          <t>E1a</t>
        </is>
      </c>
      <c r="K75" s="2" t="inlineStr">
        <is>
          <t>PRISMA review of AI in software testing; no AI-TD.</t>
        </is>
      </c>
    </row>
    <row r="76">
      <c r="A76" s="2" t="n">
        <v>75</v>
      </c>
      <c r="B76" s="2" t="inlineStr">
        <is>
          <t>A078</t>
        </is>
      </c>
      <c r="C76" s="2" t="inlineStr">
        <is>
          <t>Iznaga et al.</t>
        </is>
      </c>
      <c r="D76" s="2" t="inlineStr">
        <is>
          <t>2025</t>
        </is>
      </c>
      <c r="E76" s="2" t="inlineStr">
        <is>
          <t>Integrating Large Language Models into Automated Software Testing</t>
        </is>
      </c>
      <c r="F76" s="2" t="inlineStr">
        <is>
          <t>Future Internet</t>
        </is>
      </c>
      <c r="G76" s="2" t="inlineStr">
        <is>
          <t>10.3390/fi17100476</t>
        </is>
      </c>
      <c r="H76" s="2" t="inlineStr">
        <is>
          <t>Exclude</t>
        </is>
      </c>
      <c r="I76" s="2" t="inlineStr">
        <is>
          <t>Not assessed</t>
        </is>
      </c>
      <c r="J76" s="2" t="inlineStr">
        <is>
          <t>E1a</t>
        </is>
      </c>
      <c r="K76" s="2" t="inlineStr">
        <is>
          <t>Fine-tuned model generating test scripts from natural language; testing automation.</t>
        </is>
      </c>
    </row>
    <row r="77">
      <c r="A77" s="2" t="n">
        <v>76</v>
      </c>
      <c r="B77" s="2" t="inlineStr">
        <is>
          <t>A079</t>
        </is>
      </c>
      <c r="C77" s="2" t="inlineStr">
        <is>
          <t>Lones</t>
        </is>
      </c>
      <c r="D77" s="2" t="inlineStr">
        <is>
          <t>2026</t>
        </is>
      </c>
      <c r="E77" s="2" t="inlineStr">
        <is>
          <t>Pitfalls and risks of generative AI in machine learning</t>
        </is>
      </c>
      <c r="F77" s="2" t="inlineStr">
        <is>
          <t>Patterns</t>
        </is>
      </c>
      <c r="G77" s="2" t="inlineStr">
        <is>
          <t>10.1016/j.patter.2026.101534</t>
        </is>
      </c>
      <c r="H77" s="2" t="inlineStr">
        <is>
          <t>Exclude</t>
        </is>
      </c>
      <c r="I77" s="2" t="inlineStr">
        <is>
          <t>Not assessed</t>
        </is>
      </c>
      <c r="J77" s="2" t="inlineStr">
        <is>
          <t>E1d</t>
        </is>
      </c>
      <c r="K77" s="2" t="inlineStr">
        <is>
          <t>Tutorial on GenAI risks in ML workflows; too broad, no specific evidence on AI-TD in LLM code.</t>
        </is>
      </c>
    </row>
    <row r="78">
      <c r="A78" s="2" t="n">
        <v>77</v>
      </c>
      <c r="B78" s="2" t="inlineStr">
        <is>
          <t>A080</t>
        </is>
      </c>
      <c r="C78" s="2" t="inlineStr">
        <is>
          <t>Baumgartner et al.</t>
        </is>
      </c>
      <c r="D78" s="2" t="inlineStr">
        <is>
          <t>2024</t>
        </is>
      </c>
      <c r="E78" s="2" t="inlineStr">
        <is>
          <t>AI-Driven Refactoring: A Pipeline for Identifying and Correcting Data Clumps in Git Repositories</t>
        </is>
      </c>
      <c r="F78" s="2" t="inlineStr">
        <is>
          <t>Electronics (Switzerland)</t>
        </is>
      </c>
      <c r="G78" s="2" t="inlineStr">
        <is>
          <t>10.3390/electronics13091644</t>
        </is>
      </c>
      <c r="H78" s="2" t="inlineStr">
        <is>
          <t>Exclude</t>
        </is>
      </c>
      <c r="I78" s="2" t="inlineStr">
        <is>
          <t>Not assessed</t>
        </is>
      </c>
      <c r="J78" s="2" t="inlineStr">
        <is>
          <t>E1d</t>
        </is>
      </c>
      <c r="K78" s="2" t="inlineStr">
        <is>
          <t>ChatGPT pipeline for refactoring data clumps; preliminary experiments without standard TD metrics.</t>
        </is>
      </c>
    </row>
    <row r="79">
      <c r="A79" s="2" t="n">
        <v>78</v>
      </c>
      <c r="B79" s="2" t="inlineStr">
        <is>
          <t>A081</t>
        </is>
      </c>
      <c r="C79" s="2" t="inlineStr">
        <is>
          <t>Ouédraogo et al.</t>
        </is>
      </c>
      <c r="D79" s="2" t="inlineStr">
        <is>
          <t>2025</t>
        </is>
      </c>
      <c r="E79" s="2" t="inlineStr">
        <is>
          <t>Enriching automatic test case generation by extracting relevant test inputs from bug reports</t>
        </is>
      </c>
      <c r="F79" s="2" t="inlineStr">
        <is>
          <t>Empirical Software Engineering</t>
        </is>
      </c>
      <c r="G79" s="2" t="inlineStr">
        <is>
          <t>10.1007/s10664-025-10635-z</t>
        </is>
      </c>
      <c r="H79" s="2" t="inlineStr">
        <is>
          <t>Exclude</t>
        </is>
      </c>
      <c r="I79" s="2" t="inlineStr">
        <is>
          <t>Not assessed</t>
        </is>
      </c>
      <c r="J79" s="2" t="inlineStr">
        <is>
          <t>E1a</t>
        </is>
      </c>
      <c r="K79" s="2" t="inlineStr">
        <is>
          <t>LLM + EvoSuite/Randoop test generation from bug reports; testing automation.</t>
        </is>
      </c>
    </row>
    <row r="80">
      <c r="A80" s="2" t="n">
        <v>79</v>
      </c>
      <c r="B80" s="2" t="inlineStr">
        <is>
          <t>A082</t>
        </is>
      </c>
      <c r="C80" s="2" t="inlineStr">
        <is>
          <t>Yadav et al.</t>
        </is>
      </c>
      <c r="D80" s="2" t="inlineStr">
        <is>
          <t>2025</t>
        </is>
      </c>
      <c r="E80" s="2" t="inlineStr">
        <is>
          <t>Thematic Analysis of Expert Opinions on the Use of Large Language Models in Software Development</t>
        </is>
      </c>
      <c r="F80" s="2" t="inlineStr">
        <is>
          <t>Applied AI Letters</t>
        </is>
      </c>
      <c r="G80" s="2" t="inlineStr">
        <is>
          <t>10.1002/ail2.127</t>
        </is>
      </c>
      <c r="H80" s="2" t="inlineStr">
        <is>
          <t>Maybe</t>
        </is>
      </c>
      <c r="I80" s="2" t="inlineStr">
        <is>
          <t>Exclude</t>
        </is>
      </c>
      <c r="J80" s="2" t="inlineStr">
        <is>
          <t>FT-E</t>
        </is>
      </c>
      <c r="K80" s="2" t="inlineStr">
        <is>
          <t>Thematic analysis of eleven expert opinions on LLMs in SE; no AI-TD or code-quality evidence.</t>
        </is>
      </c>
    </row>
    <row r="81">
      <c r="A81" s="2" t="n">
        <v>80</v>
      </c>
      <c r="B81" s="2" t="inlineStr">
        <is>
          <t>A083</t>
        </is>
      </c>
      <c r="C81" s="2" t="inlineStr">
        <is>
          <t>Kim</t>
        </is>
      </c>
      <c r="D81" s="2" t="inlineStr">
        <is>
          <t>2025</t>
        </is>
      </c>
      <c r="E81" s="2" t="inlineStr">
        <is>
          <t>Quantitative Assessment of Generative Large Language Models on Design Pattern Application</t>
        </is>
      </c>
      <c r="F81" s="2" t="inlineStr">
        <is>
          <t>Computers, Materials and Continua</t>
        </is>
      </c>
      <c r="G81" s="2" t="inlineStr">
        <is>
          <t>10.32604/cmc.2025.062552</t>
        </is>
      </c>
      <c r="H81" s="2" t="inlineStr">
        <is>
          <t>Exclude</t>
        </is>
      </c>
      <c r="I81" s="2" t="inlineStr">
        <is>
          <t>Not assessed</t>
        </is>
      </c>
      <c r="J81" s="2" t="inlineStr">
        <is>
          <t>E1a</t>
        </is>
      </c>
      <c r="K81" s="2" t="inlineStr">
        <is>
          <t>ChatGPT-4 applying design patterns (RBML conformance); pattern conformance, not AI-TD in IS code.</t>
        </is>
      </c>
    </row>
    <row r="82">
      <c r="A82" s="2" t="n">
        <v>81</v>
      </c>
      <c r="B82" s="2" t="inlineStr">
        <is>
          <t>A084</t>
        </is>
      </c>
      <c r="C82" s="2" t="inlineStr">
        <is>
          <t>Binkhonain &amp; Alfayez</t>
        </is>
      </c>
      <c r="D82" s="2" t="inlineStr">
        <is>
          <t>2025</t>
        </is>
      </c>
      <c r="E82" s="2" t="inlineStr">
        <is>
          <t>Are prompts all you need? Evaluating prompt-based Large Language Models (LLM)s for software requirements classification</t>
        </is>
      </c>
      <c r="F82" s="2" t="inlineStr">
        <is>
          <t>Requirements Engineering</t>
        </is>
      </c>
      <c r="G82" s="2" t="inlineStr">
        <is>
          <t>10.1007/s00766-025-00451-8</t>
        </is>
      </c>
      <c r="H82" s="2" t="inlineStr">
        <is>
          <t>Exclude</t>
        </is>
      </c>
      <c r="I82" s="2" t="inlineStr">
        <is>
          <t>Not assessed</t>
        </is>
      </c>
      <c r="J82" s="2" t="inlineStr">
        <is>
          <t>E1a</t>
        </is>
      </c>
      <c r="K82" s="2" t="inlineStr">
        <is>
          <t>Prompt-based LLM classification of functional and non-functional requirements; requirements engineering task.</t>
        </is>
      </c>
    </row>
    <row r="83">
      <c r="A83" s="2" t="n">
        <v>82</v>
      </c>
      <c r="B83" s="2" t="inlineStr">
        <is>
          <t>A085</t>
        </is>
      </c>
      <c r="C83" s="2" t="inlineStr">
        <is>
          <t>Haque</t>
        </is>
      </c>
      <c r="D83" s="2" t="inlineStr">
        <is>
          <t>2025</t>
        </is>
      </c>
      <c r="E83" s="2" t="inlineStr">
        <is>
          <t>LLMs: A game-changer for software engineers?</t>
        </is>
      </c>
      <c r="F83" s="2" t="inlineStr">
        <is>
          <t>BenchCouncil Transactions on Benchmarks, Standards and Evaluations</t>
        </is>
      </c>
      <c r="G83" s="2" t="inlineStr">
        <is>
          <t>10.1016/j.tbench.2025.100204</t>
        </is>
      </c>
      <c r="H83" s="2" t="inlineStr">
        <is>
          <t>Maybe</t>
        </is>
      </c>
      <c r="I83" s="2" t="inlineStr">
        <is>
          <t>Exclude</t>
        </is>
      </c>
      <c r="J83" s="2" t="inlineStr">
        <is>
          <t>FT-E</t>
        </is>
      </c>
      <c r="K83" s="2" t="inlineStr">
        <is>
          <t>Perspective essay on LLMs as a game-changer for software engineers; no empirical AI-TD evidence.</t>
        </is>
      </c>
    </row>
    <row r="84">
      <c r="A84" s="2" t="n">
        <v>83</v>
      </c>
      <c r="B84" s="2" t="inlineStr">
        <is>
          <t>A086</t>
        </is>
      </c>
      <c r="C84" s="2" t="inlineStr">
        <is>
          <t>Wang et al.</t>
        </is>
      </c>
      <c r="D84" s="2" t="inlineStr">
        <is>
          <t>2024</t>
        </is>
      </c>
      <c r="E84" s="2" t="inlineStr">
        <is>
          <t>Just-In-Time TODO-Missed Commits Detection</t>
        </is>
      </c>
      <c r="F84" s="2" t="inlineStr">
        <is>
          <t>IEEE Transactions on Software Engineering</t>
        </is>
      </c>
      <c r="G84" s="2" t="inlineStr">
        <is>
          <t>10.1109/tse.2024.3405005</t>
        </is>
      </c>
      <c r="H84" s="2" t="inlineStr">
        <is>
          <t>Include</t>
        </is>
      </c>
      <c r="I84" s="2" t="inlineStr">
        <is>
          <t>Not retrieved</t>
        </is>
      </c>
      <c r="J84" s="2" t="inlineStr">
        <is>
          <t>FT-NR</t>
        </is>
      </c>
      <c r="K84" s="2" t="inlineStr">
        <is>
          <t>Just-in-time detection of TODO-missed commits (omitted SATD); included at title/abstract, full text not retrievable.</t>
        </is>
      </c>
    </row>
    <row r="85">
      <c r="A85" s="2" t="n">
        <v>84</v>
      </c>
      <c r="B85" s="2" t="inlineStr">
        <is>
          <t>A087</t>
        </is>
      </c>
      <c r="C85" s="2" t="inlineStr">
        <is>
          <t>Zhang et al.</t>
        </is>
      </c>
      <c r="D85" s="2" t="inlineStr">
        <is>
          <t>2025</t>
        </is>
      </c>
      <c r="E85" s="2" t="inlineStr">
        <is>
          <t>GeoAnalystBench: A GeoAI Benchmark for Assessing Large Language Models for Spatial Analysis Workflow and Code Generation</t>
        </is>
      </c>
      <c r="F85" s="2" t="inlineStr">
        <is>
          <t>Transactions in GIS</t>
        </is>
      </c>
      <c r="G85" s="2" t="inlineStr">
        <is>
          <t>10.1111/tgis.70135</t>
        </is>
      </c>
      <c r="H85" s="2" t="inlineStr">
        <is>
          <t>Exclude</t>
        </is>
      </c>
      <c r="I85" s="2" t="inlineStr">
        <is>
          <t>Not assessed</t>
        </is>
      </c>
      <c r="J85" s="2" t="inlineStr">
        <is>
          <t>E1c</t>
        </is>
      </c>
      <c r="K85" s="2" t="inlineStr">
        <is>
          <t>GeoAI benchmark of LLM code for spatial analysis (CodeBLEU); domain-specific, no TD.</t>
        </is>
      </c>
    </row>
    <row r="86">
      <c r="A86" s="2" t="n">
        <v>85</v>
      </c>
      <c r="B86" s="2" t="inlineStr">
        <is>
          <t>A088</t>
        </is>
      </c>
      <c r="C86" s="2" t="inlineStr">
        <is>
          <t>Rantala et al.</t>
        </is>
      </c>
      <c r="D86" s="2" t="inlineStr">
        <is>
          <t>2026</t>
        </is>
      </c>
      <c r="E86" s="2" t="inlineStr">
        <is>
          <t>Studying SATD in drone systems with Human-AI collaboration</t>
        </is>
      </c>
      <c r="F86" s="2" t="inlineStr">
        <is>
          <t>Journal of Systems and Software</t>
        </is>
      </c>
      <c r="G86" s="2" t="inlineStr">
        <is>
          <t>10.1016/j.jss.2025.112625</t>
        </is>
      </c>
      <c r="H86" s="2" t="inlineStr">
        <is>
          <t>Maybe</t>
        </is>
      </c>
      <c r="I86" s="2" t="inlineStr">
        <is>
          <t>Exclude</t>
        </is>
      </c>
      <c r="J86" s="2" t="inlineStr">
        <is>
          <t>FT-E</t>
        </is>
      </c>
      <c r="K86" s="2" t="inlineStr">
        <is>
          <t>SATD in drone systems with an LLM used as classifier, not generator; no AI-TD in generated code.</t>
        </is>
      </c>
    </row>
    <row r="87">
      <c r="A87" s="2" t="n">
        <v>86</v>
      </c>
      <c r="B87" s="2" t="inlineStr">
        <is>
          <t>A089</t>
        </is>
      </c>
      <c r="C87" s="2" t="inlineStr">
        <is>
          <t>Aljohani &amp; Aljuhani</t>
        </is>
      </c>
      <c r="D87" s="2" t="inlineStr">
        <is>
          <t>2026</t>
        </is>
      </c>
      <c r="E87" s="2" t="inlineStr">
        <is>
          <t>Pioneering agentic retrieval-augmented generation in software quality: a novel framework for code smell detection via dynamic retrieval</t>
        </is>
      </c>
      <c r="F87" s="2" t="inlineStr">
        <is>
          <t>PeerJ Computer Science</t>
        </is>
      </c>
      <c r="G87" s="2" t="inlineStr">
        <is>
          <t>10.7717/peerj-cs.3642</t>
        </is>
      </c>
      <c r="H87" s="2" t="inlineStr">
        <is>
          <t>Exclude</t>
        </is>
      </c>
      <c r="I87" s="2" t="inlineStr">
        <is>
          <t>Not assessed</t>
        </is>
      </c>
      <c r="J87" s="2" t="inlineStr">
        <is>
          <t>E1a</t>
        </is>
      </c>
      <c r="K87" s="2" t="inlineStr">
        <is>
          <t>Agentic-RAG code-smell detection on generic Python code; does not study debt in LLM-generated code.</t>
        </is>
      </c>
    </row>
    <row r="88">
      <c r="A88" s="2" t="n">
        <v>87</v>
      </c>
      <c r="B88" s="2" t="inlineStr">
        <is>
          <t>A090</t>
        </is>
      </c>
      <c r="C88" s="2" t="inlineStr">
        <is>
          <t>Simon et al.</t>
        </is>
      </c>
      <c r="D88" s="2" t="inlineStr">
        <is>
          <t>2026</t>
        </is>
      </c>
      <c r="E88" s="2" t="inlineStr">
        <is>
          <t>Automated detection of algorithm debt in deep learning frameworks: an empirical study</t>
        </is>
      </c>
      <c r="F88" s="2" t="inlineStr">
        <is>
          <t>Empirical Software Engineering</t>
        </is>
      </c>
      <c r="G88" s="2" t="inlineStr">
        <is>
          <t>10.1007/s10664-026-10807-5</t>
        </is>
      </c>
      <c r="H88" s="2" t="inlineStr">
        <is>
          <t>Maybe</t>
        </is>
      </c>
      <c r="I88" s="2" t="inlineStr">
        <is>
          <t>Include</t>
        </is>
      </c>
      <c r="J88" s="2" t="inlineStr">
        <is>
          <t>INC</t>
        </is>
      </c>
      <c r="K88" s="2" t="inlineStr">
        <is>
          <t>Algorithm debt in deep-learning frameworks (38,881 SATD comments); retained for its conceptual definition.</t>
        </is>
      </c>
    </row>
    <row r="89">
      <c r="A89" s="2" t="n">
        <v>88</v>
      </c>
      <c r="B89" s="2" t="inlineStr">
        <is>
          <t>A091</t>
        </is>
      </c>
      <c r="C89" s="2" t="inlineStr">
        <is>
          <t>Xia et al.</t>
        </is>
      </c>
      <c r="D89" s="2" t="inlineStr">
        <is>
          <t>2025</t>
        </is>
      </c>
      <c r="E89" s="2" t="inlineStr">
        <is>
          <t>SYNCode: Synergistic Human–LLM Collaboration for Enhanced Data Annotation in Stack Overflow</t>
        </is>
      </c>
      <c r="F89" s="2" t="inlineStr">
        <is>
          <t>Information (Switzerland)</t>
        </is>
      </c>
      <c r="G89" s="2" t="inlineStr">
        <is>
          <t>10.3390/info16050392</t>
        </is>
      </c>
      <c r="H89" s="2" t="inlineStr">
        <is>
          <t>Exclude</t>
        </is>
      </c>
      <c r="I89" s="2" t="inlineStr">
        <is>
          <t>Not assessed</t>
        </is>
      </c>
      <c r="J89" s="2" t="inlineStr">
        <is>
          <t>E1a</t>
        </is>
      </c>
      <c r="K89" s="2" t="inlineStr">
        <is>
          <t>Human-LLM collaborative annotation of Stack Overflow data; NLP annotation task.</t>
        </is>
      </c>
    </row>
    <row r="90">
      <c r="A90" s="2" t="n">
        <v>89</v>
      </c>
      <c r="B90" s="2" t="inlineStr">
        <is>
          <t>A066</t>
        </is>
      </c>
      <c r="C90" s="2" t="inlineStr">
        <is>
          <t>Ferrag et al.</t>
        </is>
      </c>
      <c r="D90" s="2" t="inlineStr">
        <is>
          <t>2025</t>
        </is>
      </c>
      <c r="E90" s="2" t="inlineStr">
        <is>
          <t>SecureFalcon: Are We There Yet in Automated Software Vulnerability Detection With LLMs?</t>
        </is>
      </c>
      <c r="F90" s="2" t="inlineStr">
        <is>
          <t>IEEE Transactions on Software Engineering</t>
        </is>
      </c>
      <c r="G90" s="2" t="inlineStr">
        <is>
          <t>10.1109/tse.2025.3548168</t>
        </is>
      </c>
      <c r="H90" s="2" t="inlineStr">
        <is>
          <t>Exclude</t>
        </is>
      </c>
      <c r="I90" s="2" t="inlineStr">
        <is>
          <t>Not assessed</t>
        </is>
      </c>
      <c r="J90" s="2" t="inlineStr">
        <is>
          <t>E1c</t>
        </is>
      </c>
      <c r="K90" s="2" t="inlineStr">
        <is>
          <t>LLM for CWE vulnerability detection in C code; security classification.</t>
        </is>
      </c>
    </row>
    <row r="91">
      <c r="A91" s="2" t="n">
        <v>90</v>
      </c>
      <c r="B91" s="2" t="inlineStr">
        <is>
          <t>A067</t>
        </is>
      </c>
      <c r="C91" s="2" t="inlineStr">
        <is>
          <t>Arab et al.</t>
        </is>
      </c>
      <c r="D91" s="2" t="inlineStr">
        <is>
          <t>2025</t>
        </is>
      </c>
      <c r="E91" s="2" t="inlineStr">
        <is>
          <t>Evaluating the Predictive Power of Software Metrics for Fault Localization</t>
        </is>
      </c>
      <c r="F91" s="2" t="inlineStr">
        <is>
          <t>Computers</t>
        </is>
      </c>
      <c r="G91" s="2" t="inlineStr">
        <is>
          <t>10.3390/computers14060222</t>
        </is>
      </c>
      <c r="H91" s="2" t="inlineStr">
        <is>
          <t>Exclude</t>
        </is>
      </c>
      <c r="I91" s="2" t="inlineStr">
        <is>
          <t>Not assessed</t>
        </is>
      </c>
      <c r="J91" s="2" t="inlineStr">
        <is>
          <t>E1a</t>
        </is>
      </c>
      <c r="K91" s="2" t="inlineStr">
        <is>
          <t>ML fault localization with software metrics (Defects4J); debugging, no LLM-generated code.</t>
        </is>
      </c>
    </row>
    <row r="92">
      <c r="A92" s="2" t="n">
        <v>91</v>
      </c>
      <c r="B92" s="2" t="inlineStr">
        <is>
          <t>A068</t>
        </is>
      </c>
      <c r="C92" s="2" t="inlineStr">
        <is>
          <t>Mahbub et al.</t>
        </is>
      </c>
      <c r="D92" s="2" t="inlineStr">
        <is>
          <t>2024</t>
        </is>
      </c>
      <c r="E92" s="2" t="inlineStr">
        <is>
          <t>Can GPT-4 Aid in Detecting Ambiguities, Inconsistencies, and Incompleteness in Requirements Analysis? A Comprehensive Case Study</t>
        </is>
      </c>
      <c r="F92" s="2" t="inlineStr">
        <is>
          <t>IEEE Access</t>
        </is>
      </c>
      <c r="G92" s="2" t="inlineStr">
        <is>
          <t>10.1109/access.2024.3464242</t>
        </is>
      </c>
      <c r="H92" s="2" t="inlineStr">
        <is>
          <t>Exclude</t>
        </is>
      </c>
      <c r="I92" s="2" t="inlineStr">
        <is>
          <t>Not assessed</t>
        </is>
      </c>
      <c r="J92" s="2" t="inlineStr">
        <is>
          <t>E1a</t>
        </is>
      </c>
      <c r="K92" s="2" t="inlineStr">
        <is>
          <t>GPT-4 detecting ambiguity and incompleteness in industrial SRS; requirements quality.</t>
        </is>
      </c>
    </row>
    <row r="93">
      <c r="A93" s="2" t="n">
        <v>92</v>
      </c>
      <c r="B93" s="2" t="inlineStr">
        <is>
          <t>A069</t>
        </is>
      </c>
      <c r="C93" s="2" t="inlineStr">
        <is>
          <t>Althani</t>
        </is>
      </c>
      <c r="D93" s="2" t="inlineStr">
        <is>
          <t>2026</t>
        </is>
      </c>
      <c r="E93" s="2" t="inlineStr">
        <is>
          <t>A Multi-Objective Statistical Framework for Evaluating LLM-Based Code Modernization: Transformation Pattern Analysis and Effect Size Validation</t>
        </is>
      </c>
      <c r="F93" s="2" t="inlineStr">
        <is>
          <t>Computers</t>
        </is>
      </c>
      <c r="G93" s="2" t="inlineStr">
        <is>
          <t>10.3390/computers15030148</t>
        </is>
      </c>
      <c r="H93" s="2" t="inlineStr">
        <is>
          <t>Include</t>
        </is>
      </c>
      <c r="I93" s="2" t="inlineStr">
        <is>
          <t>Include</t>
        </is>
      </c>
      <c r="J93" s="2" t="inlineStr">
        <is>
          <t>INC</t>
        </is>
      </c>
      <c r="K93" s="2" t="inlineStr">
        <is>
          <t>Multi-objective statistical framework (CC + MI, effect sizes) for LLM-based legacy Java modernization.</t>
        </is>
      </c>
    </row>
    <row r="94">
      <c r="A94" s="2" t="n">
        <v>93</v>
      </c>
      <c r="B94" s="2" t="inlineStr">
        <is>
          <t>A070</t>
        </is>
      </c>
      <c r="C94" s="2" t="inlineStr">
        <is>
          <t>Arcelli Fontana et al.</t>
        </is>
      </c>
      <c r="D94" s="2" t="inlineStr">
        <is>
          <t>2025</t>
        </is>
      </c>
      <c r="E94" s="2" t="inlineStr">
        <is>
          <t>Binary and multi-class classification of Self-Admitted Technical Debt: How far can we go?</t>
        </is>
      </c>
      <c r="F94" s="2" t="inlineStr">
        <is>
          <t>Information and Software Technology</t>
        </is>
      </c>
      <c r="G94" s="2" t="inlineStr">
        <is>
          <t>10.1016/j.infsof.2025.107862</t>
        </is>
      </c>
      <c r="H94" s="2" t="inlineStr">
        <is>
          <t>Include</t>
        </is>
      </c>
      <c r="I94" s="2" t="inlineStr">
        <is>
          <t>Include</t>
        </is>
      </c>
      <c r="J94" s="2" t="inlineStr">
        <is>
          <t>INC</t>
        </is>
      </c>
      <c r="K94" s="2" t="inlineStr">
        <is>
          <t>NLP + fine-tuned LLM for binary and multi-class SATD classification.</t>
        </is>
      </c>
    </row>
    <row r="95">
      <c r="A95" s="2" t="n">
        <v>94</v>
      </c>
      <c r="B95" s="2" t="inlineStr">
        <is>
          <t>A071</t>
        </is>
      </c>
      <c r="C95" s="2" t="inlineStr">
        <is>
          <t>Indriasari &amp; Purnomo</t>
        </is>
      </c>
      <c r="D95" s="2" t="inlineStr">
        <is>
          <t>2026</t>
        </is>
      </c>
      <c r="E95" s="2" t="inlineStr">
        <is>
          <t>Automated Rubric-Based Classification of Student Peer Code Review Feedback</t>
        </is>
      </c>
      <c r="F95" s="2" t="inlineStr">
        <is>
          <t>International Journal of Information and Education Technology</t>
        </is>
      </c>
      <c r="G95" s="2" t="inlineStr">
        <is>
          <t>10.18178/ijiet.2026.16.5.2598</t>
        </is>
      </c>
      <c r="H95" s="2" t="inlineStr">
        <is>
          <t>Exclude</t>
        </is>
      </c>
      <c r="I95" s="2" t="inlineStr">
        <is>
          <t>Not assessed</t>
        </is>
      </c>
      <c r="J95" s="2" t="inlineStr">
        <is>
          <t>E1a</t>
        </is>
      </c>
      <c r="K95" s="2" t="inlineStr">
        <is>
          <t>Classification of student peer code-review feedback (Bahasa Indonesia); pedagogical assessment.</t>
        </is>
      </c>
    </row>
    <row r="96">
      <c r="A96" s="2" t="n">
        <v>95</v>
      </c>
      <c r="B96" s="2" t="inlineStr">
        <is>
          <t>A072</t>
        </is>
      </c>
      <c r="C96" s="2" t="inlineStr">
        <is>
          <t>Groen et al.</t>
        </is>
      </c>
      <c r="D96" s="2" t="inlineStr">
        <is>
          <t>2025</t>
        </is>
      </c>
      <c r="E96" s="2" t="inlineStr">
        <is>
          <t>Classification of quality characteristics in online user feedback using linguistic analysis, crowdsourcing and LLMs</t>
        </is>
      </c>
      <c r="F96" s="2" t="inlineStr">
        <is>
          <t>Journal of Systems and Software</t>
        </is>
      </c>
      <c r="G96" s="2" t="inlineStr">
        <is>
          <t>10.1016/j.jss.2025.112533</t>
        </is>
      </c>
      <c r="H96" s="2" t="inlineStr">
        <is>
          <t>Exclude</t>
        </is>
      </c>
      <c r="I96" s="2" t="inlineStr">
        <is>
          <t>Not assessed</t>
        </is>
      </c>
      <c r="J96" s="2" t="inlineStr">
        <is>
          <t>E1a</t>
        </is>
      </c>
      <c r="K96" s="2" t="inlineStr">
        <is>
          <t>Classification of quality characteristics in app user feedback; NLP for requirements.</t>
        </is>
      </c>
    </row>
    <row r="97">
      <c r="A97" s="2" t="n">
        <v>96</v>
      </c>
      <c r="B97" s="2" t="inlineStr">
        <is>
          <t>A073</t>
        </is>
      </c>
      <c r="C97" s="2" t="inlineStr">
        <is>
          <t>Vitale et al.</t>
        </is>
      </c>
      <c r="D97" s="2" t="inlineStr">
        <is>
          <t>2026</t>
        </is>
      </c>
      <c r="E97" s="2" t="inlineStr">
        <is>
          <t>Architecting software monitors for control-flow anomaly detection through large language models and conformance checking</t>
        </is>
      </c>
      <c r="F97" s="2" t="inlineStr">
        <is>
          <t>Information and Software Technology</t>
        </is>
      </c>
      <c r="G97" s="2" t="inlineStr">
        <is>
          <t>10.1016/j.infsof.2026.108133</t>
        </is>
      </c>
      <c r="H97" s="2" t="inlineStr">
        <is>
          <t>Exclude</t>
        </is>
      </c>
      <c r="I97" s="2" t="inlineStr">
        <is>
          <t>Not assessed</t>
        </is>
      </c>
      <c r="J97" s="2" t="inlineStr">
        <is>
          <t>E1c</t>
        </is>
      </c>
      <c r="K97" s="2" t="inlineStr">
        <is>
          <t>LLMs + conformance checking for control-flow anomalies in railway systems (ERTMS); cyber-physical domain.</t>
        </is>
      </c>
    </row>
    <row r="98">
      <c r="A98" s="2" t="n">
        <v>97</v>
      </c>
      <c r="B98" s="2" t="inlineStr">
        <is>
          <t>A074</t>
        </is>
      </c>
      <c r="C98" s="2" t="inlineStr">
        <is>
          <t>Kuanyshev &amp; Ali</t>
        </is>
      </c>
      <c r="D98" s="2" t="inlineStr">
        <is>
          <t>2026</t>
        </is>
      </c>
      <c r="E98" s="2" t="inlineStr">
        <is>
          <t>Constrained LLM-Guided Refactoring of JavaScript: A Smell-Targeted Transformation Framework with Human-in-the-Loop Validation</t>
        </is>
      </c>
      <c r="F98" s="2" t="inlineStr">
        <is>
          <t>Computers, Materials and Continua</t>
        </is>
      </c>
      <c r="G98" s="2" t="inlineStr">
        <is>
          <t>10.32604/cmc.2026.080737</t>
        </is>
      </c>
      <c r="H98" s="2" t="inlineStr">
        <is>
          <t>Include</t>
        </is>
      </c>
      <c r="I98" s="2" t="inlineStr">
        <is>
          <t>Include</t>
        </is>
      </c>
      <c r="J98" s="2" t="inlineStr">
        <is>
          <t>INC</t>
        </is>
      </c>
      <c r="K98" s="2" t="inlineStr">
        <is>
          <t>Constrained, smell-targeted LLM refactoring of JavaScript with AST detection and human validation.</t>
        </is>
      </c>
    </row>
    <row r="99">
      <c r="A99" s="2" t="n">
        <v>98</v>
      </c>
      <c r="B99" s="2" t="inlineStr">
        <is>
          <t>A092</t>
        </is>
      </c>
      <c r="C99" s="2" t="inlineStr">
        <is>
          <t>Grant et al.</t>
        </is>
      </c>
      <c r="D99" s="2" t="inlineStr">
        <is>
          <t>2026</t>
        </is>
      </c>
      <c r="E99" s="2" t="inlineStr">
        <is>
          <t>Empirical insights into Chat Generative Pre-trained Transformer-assisted code refactoring and developer dynamics</t>
        </is>
      </c>
      <c r="F99" s="2" t="inlineStr">
        <is>
          <t>Engineering Applications of Artificial Intelligence</t>
        </is>
      </c>
      <c r="G99" s="2" t="inlineStr">
        <is>
          <t>10.1016/j.engappai.2026.114865</t>
        </is>
      </c>
      <c r="H99" s="2" t="inlineStr">
        <is>
          <t>Maybe</t>
        </is>
      </c>
      <c r="I99" s="2" t="inlineStr">
        <is>
          <t>Exclude</t>
        </is>
      </c>
      <c r="J99" s="2" t="inlineStr">
        <is>
          <t>FT-E</t>
        </is>
      </c>
      <c r="K99" s="2" t="inlineStr">
        <is>
          <t>Developer-ChatGPT refactoring dynamics; measures acceptance categories only, no TD metrics.</t>
        </is>
      </c>
    </row>
    <row r="100">
      <c r="A100" s="2" t="n">
        <v>99</v>
      </c>
      <c r="B100" s="2" t="inlineStr">
        <is>
          <t>A093</t>
        </is>
      </c>
      <c r="C100" s="2" t="inlineStr">
        <is>
          <t>Vitale et al.</t>
        </is>
      </c>
      <c r="D100" s="2" t="inlineStr">
        <is>
          <t>2025</t>
        </is>
      </c>
      <c r="E100" s="2" t="inlineStr">
        <is>
          <t>A Catalog of Data Smells for Coding Tasks</t>
        </is>
      </c>
      <c r="F100" s="2" t="inlineStr">
        <is>
          <t>ACM Transactions on Software Engineering and Methodology</t>
        </is>
      </c>
      <c r="G100" s="2" t="inlineStr">
        <is>
          <t>10.1145/3707457</t>
        </is>
      </c>
      <c r="H100" s="2" t="inlineStr">
        <is>
          <t>Exclude</t>
        </is>
      </c>
      <c r="I100" s="2" t="inlineStr">
        <is>
          <t>Not assessed</t>
        </is>
      </c>
      <c r="J100" s="2" t="inlineStr">
        <is>
          <t>E1a</t>
        </is>
      </c>
      <c r="K100" s="2" t="inlineStr">
        <is>
          <t>Catalogue of data smells in LLM training datasets for coding tasks; training-data quality, not generated code.</t>
        </is>
      </c>
    </row>
    <row r="101">
      <c r="A101" s="2" t="n">
        <v>100</v>
      </c>
      <c r="B101" s="2" t="inlineStr">
        <is>
          <t>A094</t>
        </is>
      </c>
      <c r="C101" s="2" t="inlineStr">
        <is>
          <t>Massenon et al.</t>
        </is>
      </c>
      <c r="D101" s="2" t="inlineStr">
        <is>
          <t>2025</t>
        </is>
      </c>
      <c r="E101" s="2" t="inlineStr">
        <is>
          <t>“My AI is Lying to Me”: User-reported LLM hallucinations in AI mobile apps reviews</t>
        </is>
      </c>
      <c r="F101" s="2" t="inlineStr">
        <is>
          <t>Scientific Reports</t>
        </is>
      </c>
      <c r="G101" s="2" t="inlineStr">
        <is>
          <t>10.1038/s41598-025-15416-8</t>
        </is>
      </c>
      <c r="H101" s="2" t="inlineStr">
        <is>
          <t>Exclude</t>
        </is>
      </c>
      <c r="I101" s="2" t="inlineStr">
        <is>
          <t>Not assessed</t>
        </is>
      </c>
      <c r="J101" s="2" t="inlineStr">
        <is>
          <t>E1a</t>
        </is>
      </c>
      <c r="K101" s="2" t="inlineStr">
        <is>
          <t>User-reported LLM hallucinations in mobile-app reviews; not code.</t>
        </is>
      </c>
    </row>
    <row r="102">
      <c r="A102" s="2" t="n">
        <v>101</v>
      </c>
      <c r="B102" s="2" t="inlineStr">
        <is>
          <t>A105</t>
        </is>
      </c>
      <c r="C102" s="2" t="inlineStr">
        <is>
          <t>Bai et al.</t>
        </is>
      </c>
      <c r="D102" s="2" t="inlineStr">
        <is>
          <t>2025</t>
        </is>
      </c>
      <c r="E102" s="2" t="inlineStr">
        <is>
          <t>Collaboration between intelligent agents and large language models: A novel approach for enhancing code generation capability</t>
        </is>
      </c>
      <c r="F102" s="2" t="inlineStr">
        <is>
          <t>Expert Systems with Applications</t>
        </is>
      </c>
      <c r="G102" s="2" t="inlineStr">
        <is>
          <t>10.1016/j.eswa.2024.126357</t>
        </is>
      </c>
      <c r="H102" s="2" t="inlineStr">
        <is>
          <t>Exclude</t>
        </is>
      </c>
      <c r="I102" s="2" t="inlineStr">
        <is>
          <t>Not assessed</t>
        </is>
      </c>
      <c r="J102" s="2" t="inlineStr">
        <is>
          <t>E1b</t>
        </is>
      </c>
      <c r="K102" s="2" t="inlineStr">
        <is>
          <t>Agents + LLM code generation improving pass@k and an undefined quality score on algorithmic benchmarks.</t>
        </is>
      </c>
    </row>
    <row r="103">
      <c r="A103" s="2" t="n">
        <v>102</v>
      </c>
      <c r="B103" s="2" t="inlineStr">
        <is>
          <t>A106</t>
        </is>
      </c>
      <c r="C103" s="2" t="inlineStr">
        <is>
          <t>Dolcetti et al.</t>
        </is>
      </c>
      <c r="D103" s="2" t="inlineStr">
        <is>
          <t>2026</t>
        </is>
      </c>
      <c r="E103" s="2" t="inlineStr">
        <is>
          <t>Helping LLMs improve code generation using feedback from testing and static analysis</t>
        </is>
      </c>
      <c r="F103" s="2" t="inlineStr">
        <is>
          <t>Discover Artificial Intelligence</t>
        </is>
      </c>
      <c r="G103" s="2" t="inlineStr">
        <is>
          <t>10.1007/s44163-026-01009-5</t>
        </is>
      </c>
      <c r="H103" s="2" t="inlineStr">
        <is>
          <t>Include</t>
        </is>
      </c>
      <c r="I103" s="2" t="inlineStr">
        <is>
          <t>Include</t>
        </is>
      </c>
      <c r="J103" s="2" t="inlineStr">
        <is>
          <t>INC</t>
        </is>
      </c>
      <c r="K103" s="2" t="inlineStr">
        <is>
          <t>Testing and static-analysis feedback guiding LLM self-repair of generated C code.</t>
        </is>
      </c>
    </row>
    <row r="104">
      <c r="A104" s="2" t="n">
        <v>103</v>
      </c>
      <c r="B104" s="2" t="inlineStr">
        <is>
          <t>A107</t>
        </is>
      </c>
      <c r="C104" s="2" t="inlineStr">
        <is>
          <t>Han et al.</t>
        </is>
      </c>
      <c r="D104" s="2" t="inlineStr">
        <is>
          <t>2025</t>
        </is>
      </c>
      <c r="E104" s="2" t="inlineStr">
        <is>
          <t>TriGen: A Semantic-Feedback Collaborative LLM Test Case Generation Model</t>
        </is>
      </c>
      <c r="F104" s="2" t="inlineStr">
        <is>
          <t>IEEE Access</t>
        </is>
      </c>
      <c r="G104" s="2" t="inlineStr">
        <is>
          <t>10.1109/access.2025.3635218</t>
        </is>
      </c>
      <c r="H104" s="2" t="inlineStr">
        <is>
          <t>Exclude</t>
        </is>
      </c>
      <c r="I104" s="2" t="inlineStr">
        <is>
          <t>Not assessed</t>
        </is>
      </c>
      <c r="J104" s="2" t="inlineStr">
        <is>
          <t>E1a</t>
        </is>
      </c>
      <c r="K104" s="2" t="inlineStr">
        <is>
          <t>Collaborative LLM test-case generation for Chinese-language requirements; testing automation.</t>
        </is>
      </c>
    </row>
    <row r="105">
      <c r="A105" s="2" t="n">
        <v>104</v>
      </c>
      <c r="B105" s="2" t="inlineStr">
        <is>
          <t>A108</t>
        </is>
      </c>
      <c r="C105" s="2" t="inlineStr">
        <is>
          <t>Yu et al.</t>
        </is>
      </c>
      <c r="D105" s="2" t="inlineStr">
        <is>
          <t>2026</t>
        </is>
      </c>
      <c r="E105" s="2" t="inlineStr">
        <is>
          <t>Evaluating the quality of GenAI applications in software engineering: a multi-case study</t>
        </is>
      </c>
      <c r="F105" s="2" t="inlineStr">
        <is>
          <t>Empirical Software Engineering</t>
        </is>
      </c>
      <c r="G105" s="2" t="inlineStr">
        <is>
          <t>10.1007/s10664-025-10759-2</t>
        </is>
      </c>
      <c r="H105" s="2" t="inlineStr">
        <is>
          <t>Maybe</t>
        </is>
      </c>
      <c r="I105" s="2" t="inlineStr">
        <is>
          <t>Exclude</t>
        </is>
      </c>
      <c r="J105" s="2" t="inlineStr">
        <is>
          <t>FT-E</t>
        </is>
      </c>
      <c r="K105" s="2" t="inlineStr">
        <is>
          <t>Multi-case study of 28 practitioner metrics for GenAI quality; code generation is one of four domains, no TD metrics.</t>
        </is>
      </c>
    </row>
    <row r="106">
      <c r="A106" s="2" t="n">
        <v>105</v>
      </c>
      <c r="B106" s="2" t="inlineStr">
        <is>
          <t>A109</t>
        </is>
      </c>
      <c r="C106" s="2" t="inlineStr">
        <is>
          <t>Dong et al.</t>
        </is>
      </c>
      <c r="D106" s="2" t="inlineStr">
        <is>
          <t>2024</t>
        </is>
      </c>
      <c r="E106" s="2" t="inlineStr">
        <is>
          <t>Self-Collaboration Code Generation via ChatGPT</t>
        </is>
      </c>
      <c r="F106" s="2" t="inlineStr">
        <is>
          <t>ACM Transactions on Software Engineering and Methodology</t>
        </is>
      </c>
      <c r="G106" s="2" t="inlineStr">
        <is>
          <t>10.1145/3672459</t>
        </is>
      </c>
      <c r="H106" s="2" t="inlineStr">
        <is>
          <t>Exclude</t>
        </is>
      </c>
      <c r="I106" s="2" t="inlineStr">
        <is>
          <t>Not assessed</t>
        </is>
      </c>
      <c r="J106" s="2" t="inlineStr">
        <is>
          <t>E1b</t>
        </is>
      </c>
      <c r="K106" s="2" t="inlineStr">
        <is>
          <t>Multi-agent self-collaboration improving pass@1; functional correctness only.</t>
        </is>
      </c>
    </row>
    <row r="107">
      <c r="A107" s="2" t="n">
        <v>106</v>
      </c>
      <c r="B107" s="2" t="inlineStr">
        <is>
          <t>A110</t>
        </is>
      </c>
      <c r="C107" s="2" t="inlineStr">
        <is>
          <t>Ramos et al.</t>
        </is>
      </c>
      <c r="D107" s="2" t="inlineStr">
        <is>
          <t>2025</t>
        </is>
      </c>
      <c r="E107" s="2" t="inlineStr">
        <is>
          <t>AI-Augmented Software Engineering: Revolutionizing or Challenging Software Quality and Testing?</t>
        </is>
      </c>
      <c r="F107" s="2" t="inlineStr">
        <is>
          <t>Journal of Software: Evolution and Process</t>
        </is>
      </c>
      <c r="G107" s="2" t="inlineStr">
        <is>
          <t>10.1002/smr.2741</t>
        </is>
      </c>
      <c r="H107" s="2" t="inlineStr">
        <is>
          <t>Exclude</t>
        </is>
      </c>
      <c r="I107" s="2" t="inlineStr">
        <is>
          <t>Not assessed</t>
        </is>
      </c>
      <c r="J107" s="2" t="inlineStr">
        <is>
          <t>E1d</t>
        </is>
      </c>
      <c r="K107" s="2" t="inlineStr">
        <is>
          <t>Position paper on ISO quality-model extensions for AI systems; no empirical TD measurement.</t>
        </is>
      </c>
    </row>
    <row r="108">
      <c r="A108" s="2" t="n">
        <v>107</v>
      </c>
      <c r="B108" s="2" t="inlineStr">
        <is>
          <t>A111</t>
        </is>
      </c>
      <c r="C108" s="2" t="inlineStr">
        <is>
          <t>Moreschini et al.</t>
        </is>
      </c>
      <c r="D108" s="2" t="inlineStr">
        <is>
          <t>2026</t>
        </is>
      </c>
      <c r="E108" s="2" t="inlineStr">
        <is>
          <t>The Evolution of Technical Debt from DevOps to Generative AI: A multivocal literature review</t>
        </is>
      </c>
      <c r="F108" s="2" t="inlineStr">
        <is>
          <t>Journal of Systems and Software</t>
        </is>
      </c>
      <c r="G108" s="2" t="inlineStr">
        <is>
          <t>10.1016/j.jss.2025.112599</t>
        </is>
      </c>
      <c r="H108" s="2" t="inlineStr">
        <is>
          <t>Include</t>
        </is>
      </c>
      <c r="I108" s="2" t="inlineStr">
        <is>
          <t>Include</t>
        </is>
      </c>
      <c r="J108" s="2" t="inlineStr">
        <is>
          <t>INC</t>
        </is>
      </c>
      <c r="K108" s="2" t="inlineStr">
        <is>
          <t>Multivocal review of 61 sources on the evolution of technical debt from DevOps to generative AI.</t>
        </is>
      </c>
    </row>
    <row r="109">
      <c r="A109" s="2" t="n">
        <v>108</v>
      </c>
      <c r="B109" s="2" t="inlineStr">
        <is>
          <t>A112</t>
        </is>
      </c>
      <c r="C109" s="2" t="inlineStr">
        <is>
          <t>Patel et al.</t>
        </is>
      </c>
      <c r="D109" s="2" t="inlineStr">
        <is>
          <t>2024</t>
        </is>
      </c>
      <c r="E109" s="2" t="inlineStr">
        <is>
          <t>BHRAMARI: Bug driven highly reusable automated model for automated test bed generation and integration</t>
        </is>
      </c>
      <c r="F109" s="2" t="inlineStr">
        <is>
          <t>Software Impacts</t>
        </is>
      </c>
      <c r="G109" s="2" t="inlineStr">
        <is>
          <t>10.1016/j.simpa.2024.100687</t>
        </is>
      </c>
      <c r="H109" s="2" t="inlineStr">
        <is>
          <t>Exclude</t>
        </is>
      </c>
      <c r="I109" s="2" t="inlineStr">
        <is>
          <t>Not assessed</t>
        </is>
      </c>
      <c r="J109" s="2" t="inlineStr">
        <is>
          <t>E1a</t>
        </is>
      </c>
      <c r="K109" s="2" t="inlineStr">
        <is>
          <t>GenAI/NLP tool for automated test-bed generation; testing automation.</t>
        </is>
      </c>
    </row>
    <row r="110">
      <c r="A110" s="2" t="n">
        <v>109</v>
      </c>
      <c r="B110" s="2" t="inlineStr">
        <is>
          <t>A113</t>
        </is>
      </c>
      <c r="C110" s="2" t="inlineStr">
        <is>
          <t>Sagodi et al.</t>
        </is>
      </c>
      <c r="D110" s="2" t="inlineStr">
        <is>
          <t>2024</t>
        </is>
      </c>
      <c r="E110" s="2" t="inlineStr">
        <is>
          <t>Methodology for Code Synthesis Evaluation of LLMs Presented by a Case Study of ChatGPT and Copilot</t>
        </is>
      </c>
      <c r="F110" s="2" t="inlineStr">
        <is>
          <t>IEEE Access</t>
        </is>
      </c>
      <c r="G110" s="2" t="inlineStr">
        <is>
          <t>10.1109/access.2024.3403858</t>
        </is>
      </c>
      <c r="H110" s="2" t="inlineStr">
        <is>
          <t>Include</t>
        </is>
      </c>
      <c r="I110" s="2" t="inlineStr">
        <is>
          <t>Include</t>
        </is>
      </c>
      <c r="J110" s="2" t="inlineStr">
        <is>
          <t>INC</t>
        </is>
      </c>
      <c r="K110" s="2" t="inlineStr">
        <is>
          <t>Evaluation methodology combining static analysis and human review of ChatGPT and Copilot code synthesis.</t>
        </is>
      </c>
    </row>
    <row r="111">
      <c r="A111" s="2" t="n">
        <v>110</v>
      </c>
      <c r="B111" s="2" t="inlineStr">
        <is>
          <t>A114</t>
        </is>
      </c>
      <c r="C111" s="2" t="inlineStr">
        <is>
          <t>Ayan &amp; Üstündağ</t>
        </is>
      </c>
      <c r="D111" s="2" t="inlineStr">
        <is>
          <t>2026</t>
        </is>
      </c>
      <c r="E111" s="2" t="inlineStr">
        <is>
          <t>Dual-Mode Adaptive AI Persona Recommendation for Blockchain Education: A Mixed-Method Evaluation of the PITL System Based on Dreyfus Competency Levels</t>
        </is>
      </c>
      <c r="F111" s="2" t="inlineStr">
        <is>
          <t>Applied Sciences (Switzerland)</t>
        </is>
      </c>
      <c r="G111" s="2" t="inlineStr">
        <is>
          <t>10.3390/app16062998</t>
        </is>
      </c>
      <c r="H111" s="2" t="inlineStr">
        <is>
          <t>Exclude</t>
        </is>
      </c>
      <c r="I111" s="2" t="inlineStr">
        <is>
          <t>Not assessed</t>
        </is>
      </c>
      <c r="J111" s="2" t="inlineStr">
        <is>
          <t>E1c</t>
        </is>
      </c>
      <c r="K111" s="2" t="inlineStr">
        <is>
          <t>Adaptive AI persona recommender for blockchain education; unrelated domain.</t>
        </is>
      </c>
    </row>
    <row r="112">
      <c r="A112" s="2" t="n">
        <v>111</v>
      </c>
      <c r="B112" s="2" t="inlineStr">
        <is>
          <t>A115</t>
        </is>
      </c>
      <c r="C112" s="2" t="inlineStr">
        <is>
          <t>Jiang et al.</t>
        </is>
      </c>
      <c r="D112" s="2" t="inlineStr">
        <is>
          <t>2025</t>
        </is>
      </c>
      <c r="E112" s="2" t="inlineStr">
        <is>
          <t>Unearthing Gas-Wasting Code Smells in Smart Contracts With Large Language Models</t>
        </is>
      </c>
      <c r="F112" s="2" t="inlineStr">
        <is>
          <t>IEEE Transactions on Software Engineering</t>
        </is>
      </c>
      <c r="G112" s="2" t="inlineStr">
        <is>
          <t>10.1109/tse.2024.3491578</t>
        </is>
      </c>
      <c r="H112" s="2" t="inlineStr">
        <is>
          <t>Maybe</t>
        </is>
      </c>
      <c r="I112" s="2" t="inlineStr">
        <is>
          <t>Not retrieved</t>
        </is>
      </c>
      <c r="J112" s="2" t="inlineStr">
        <is>
          <t>FT-NR</t>
        </is>
      </c>
      <c r="K112" s="2" t="inlineStr">
        <is>
          <t>LLMs detecting gas-wasting smells in smart contracts; maybe at title/abstract, full text not retrievable.</t>
        </is>
      </c>
    </row>
    <row r="113">
      <c r="A113" s="2" t="n">
        <v>112</v>
      </c>
      <c r="B113" s="2" t="inlineStr">
        <is>
          <t>A116</t>
        </is>
      </c>
      <c r="C113" s="2" t="inlineStr">
        <is>
          <t>Tolmachev &amp; Chertovskih</t>
        </is>
      </c>
      <c r="D113" s="2" t="inlineStr">
        <is>
          <t>2026</t>
        </is>
      </c>
      <c r="E113" s="2" t="inlineStr">
        <is>
          <t>Python-Assisted Development of High-Performance Fortran Codes: A Hybrid Methodology Integrating Symbolic Mathematics and Large Language Models</t>
        </is>
      </c>
      <c r="F113" s="2" t="inlineStr">
        <is>
          <t>Computation</t>
        </is>
      </c>
      <c r="G113" s="2" t="inlineStr">
        <is>
          <t>10.3390/computation14040086</t>
        </is>
      </c>
      <c r="H113" s="2" t="inlineStr">
        <is>
          <t>Exclude</t>
        </is>
      </c>
      <c r="I113" s="2" t="inlineStr">
        <is>
          <t>Not assessed</t>
        </is>
      </c>
      <c r="J113" s="2" t="inlineStr">
        <is>
          <t>E1c</t>
        </is>
      </c>
      <c r="K113" s="2" t="inlineStr">
        <is>
          <t>LLM-assisted development of high-performance Fortran codes; scientific HPC domain without TD measurement.</t>
        </is>
      </c>
    </row>
    <row r="114">
      <c r="A114" s="2" t="n">
        <v>113</v>
      </c>
      <c r="B114" s="2" t="inlineStr">
        <is>
          <t>A117</t>
        </is>
      </c>
      <c r="C114" s="2" t="inlineStr">
        <is>
          <t>Mejia et al.</t>
        </is>
      </c>
      <c r="D114" s="2" t="inlineStr">
        <is>
          <t>2024</t>
        </is>
      </c>
      <c r="E114" s="2" t="inlineStr">
        <is>
          <t>VSEST 29110 Tool: Using ChatGPT to Evaluate the Implementation of the ISO/IEC 29110 Work Products</t>
        </is>
      </c>
      <c r="F114" s="2" t="inlineStr">
        <is>
          <t>IEEE Access</t>
        </is>
      </c>
      <c r="G114" s="2" t="inlineStr">
        <is>
          <t>10.1109/access.2024.3449252</t>
        </is>
      </c>
      <c r="H114" s="2" t="inlineStr">
        <is>
          <t>Maybe</t>
        </is>
      </c>
      <c r="I114" s="2" t="inlineStr">
        <is>
          <t>Include</t>
        </is>
      </c>
      <c r="J114" s="2" t="inlineStr">
        <is>
          <t>INC</t>
        </is>
      </c>
      <c r="K114" s="2" t="inlineStr">
        <is>
          <t>ChatGPT-based tool to evaluate ISO/IEC 29110 work products in Mexican very small entities; contextual evidence.</t>
        </is>
      </c>
    </row>
    <row r="115">
      <c r="A115" s="2" t="n">
        <v>114</v>
      </c>
      <c r="B115" s="2" t="inlineStr">
        <is>
          <t>A118</t>
        </is>
      </c>
      <c r="C115" s="2" t="inlineStr">
        <is>
          <t>Zhang et al.</t>
        </is>
      </c>
      <c r="D115" s="2" t="inlineStr">
        <is>
          <t>2025</t>
        </is>
      </c>
      <c r="E115" s="2" t="inlineStr">
        <is>
          <t>Predicting software developer sentiment on self-admitted technical debt</t>
        </is>
      </c>
      <c r="F115" s="2" t="inlineStr">
        <is>
          <t>PeerJ Computer Science</t>
        </is>
      </c>
      <c r="G115" s="2" t="inlineStr">
        <is>
          <t>10.7717/peerj-cs.3227</t>
        </is>
      </c>
      <c r="H115" s="2" t="inlineStr">
        <is>
          <t>Exclude</t>
        </is>
      </c>
      <c r="I115" s="2" t="inlineStr">
        <is>
          <t>Not assessed</t>
        </is>
      </c>
      <c r="J115" s="2" t="inlineStr">
        <is>
          <t>E1a</t>
        </is>
      </c>
      <c r="K115" s="2" t="inlineStr">
        <is>
          <t>Developer sentiment on SATD comments with GPT-3.5; sentiment analysis, not TD in LLM code.</t>
        </is>
      </c>
    </row>
    <row r="116">
      <c r="A116" s="2" t="n">
        <v>115</v>
      </c>
      <c r="B116" s="2" t="inlineStr">
        <is>
          <t>A119</t>
        </is>
      </c>
      <c r="C116" s="2" t="inlineStr">
        <is>
          <t>Straub et al.</t>
        </is>
      </c>
      <c r="D116" s="2" t="inlineStr">
        <is>
          <t>2026</t>
        </is>
      </c>
      <c r="E116" s="2" t="inlineStr">
        <is>
          <t>Robust AI-Driven Artifact Model Generation for Development Standards in Regulated Domains</t>
        </is>
      </c>
      <c r="F116" s="2" t="inlineStr">
        <is>
          <t>Journal of Software: Evolution and Process</t>
        </is>
      </c>
      <c r="G116" s="2" t="inlineStr">
        <is>
          <t>10.1002/smr.70093</t>
        </is>
      </c>
      <c r="H116" s="2" t="inlineStr">
        <is>
          <t>Exclude</t>
        </is>
      </c>
      <c r="I116" s="2" t="inlineStr">
        <is>
          <t>Not assessed</t>
        </is>
      </c>
      <c r="J116" s="2" t="inlineStr">
        <is>
          <t>E1c</t>
        </is>
      </c>
      <c r="K116" s="2" t="inlineStr">
        <is>
          <t>LLM generation of artifact models from regulated standards (aerospace/automotive); safety-critical domain.</t>
        </is>
      </c>
    </row>
    <row r="117">
      <c r="A117" s="2" t="n">
        <v>116</v>
      </c>
      <c r="B117" s="2" t="inlineStr">
        <is>
          <t>A120</t>
        </is>
      </c>
      <c r="C117" s="2" t="inlineStr">
        <is>
          <t>Pysmennyi et al.</t>
        </is>
      </c>
      <c r="D117" s="2" t="inlineStr">
        <is>
          <t>2025</t>
        </is>
      </c>
      <c r="E117" s="2" t="inlineStr">
        <is>
          <t>AI-DRIVEN TOOLS IN MODERN SOFTWARE QUALITY ASSURANCE: AN ASSESSMENT OF BENEFITS, CHALLENGES, AND FUTURE DIRECTIONS</t>
        </is>
      </c>
      <c r="F117" s="2" t="inlineStr">
        <is>
          <t>Technology Audit and Production Reserves</t>
        </is>
      </c>
      <c r="G117" s="2" t="inlineStr">
        <is>
          <t>10.15587/2706-5448.2025.330595</t>
        </is>
      </c>
      <c r="H117" s="2" t="inlineStr">
        <is>
          <t>Exclude</t>
        </is>
      </c>
      <c r="I117" s="2" t="inlineStr">
        <is>
          <t>Not assessed</t>
        </is>
      </c>
      <c r="J117" s="2" t="inlineStr">
        <is>
          <t>E1d</t>
        </is>
      </c>
      <c r="K117" s="2" t="inlineStr">
        <is>
          <t>General assessment of AI tools across QA activities; no focus on TD in LLM code.</t>
        </is>
      </c>
    </row>
    <row r="118">
      <c r="A118" s="2" t="n">
        <v>117</v>
      </c>
      <c r="B118" s="2" t="inlineStr">
        <is>
          <t>A121</t>
        </is>
      </c>
      <c r="C118" s="2" t="inlineStr">
        <is>
          <t>Li et al.</t>
        </is>
      </c>
      <c r="D118" s="2" t="inlineStr">
        <is>
          <t>2025</t>
        </is>
      </c>
      <c r="E118" s="2" t="inlineStr">
        <is>
          <t>Large Language Model-Aware In-Context Learning for Code Generation</t>
        </is>
      </c>
      <c r="F118" s="2" t="inlineStr">
        <is>
          <t>ACM Transactions on Software Engineering and Methodology</t>
        </is>
      </c>
      <c r="G118" s="2" t="inlineStr">
        <is>
          <t>10.1145/3715908</t>
        </is>
      </c>
      <c r="H118" s="2" t="inlineStr">
        <is>
          <t>Exclude</t>
        </is>
      </c>
      <c r="I118" s="2" t="inlineStr">
        <is>
          <t>Not assessed</t>
        </is>
      </c>
      <c r="J118" s="2" t="inlineStr">
        <is>
          <t>E1b</t>
        </is>
      </c>
      <c r="K118" s="2" t="inlineStr">
        <is>
          <t>Example selection for in-context learning improving pass@k; quality rated subjectively on benchmarks.</t>
        </is>
      </c>
    </row>
    <row r="119">
      <c r="A119" s="2" t="n">
        <v>118</v>
      </c>
      <c r="B119" s="2" t="inlineStr">
        <is>
          <t>A095</t>
        </is>
      </c>
      <c r="C119" s="2" t="inlineStr">
        <is>
          <t>Coutinho et al.</t>
        </is>
      </c>
      <c r="D119" s="2" t="inlineStr">
        <is>
          <t>2026</t>
        </is>
      </c>
      <c r="E119" s="2" t="inlineStr">
        <is>
          <t>Leveraging large language models for sentiment analysis in GitHub pull request discussions</t>
        </is>
      </c>
      <c r="F119" s="2" t="inlineStr">
        <is>
          <t>Empirical Software Engineering</t>
        </is>
      </c>
      <c r="G119" s="2" t="inlineStr">
        <is>
          <t>10.1007/s10664-026-10868-6</t>
        </is>
      </c>
      <c r="H119" s="2" t="inlineStr">
        <is>
          <t>Exclude</t>
        </is>
      </c>
      <c r="I119" s="2" t="inlineStr">
        <is>
          <t>Not assessed</t>
        </is>
      </c>
      <c r="J119" s="2" t="inlineStr">
        <is>
          <t>E1a</t>
        </is>
      </c>
      <c r="K119" s="2" t="inlineStr">
        <is>
          <t>LLM sentiment analysis of GitHub pull-request discussions; human aspects of review.</t>
        </is>
      </c>
    </row>
    <row r="120">
      <c r="A120" s="2" t="n">
        <v>119</v>
      </c>
      <c r="B120" s="2" t="inlineStr">
        <is>
          <t>A096</t>
        </is>
      </c>
      <c r="C120" s="2" t="inlineStr">
        <is>
          <t>Lyu et al.</t>
        </is>
      </c>
      <c r="D120" s="2" t="inlineStr">
        <is>
          <t>2025</t>
        </is>
      </c>
      <c r="E120" s="2" t="inlineStr">
        <is>
          <t>Automatic Programming: Large Language Models and Beyond</t>
        </is>
      </c>
      <c r="F120" s="2" t="inlineStr">
        <is>
          <t>ACM Transactions on Software Engineering and Methodology</t>
        </is>
      </c>
      <c r="G120" s="2" t="inlineStr">
        <is>
          <t>10.1145/3708519</t>
        </is>
      </c>
      <c r="H120" s="2" t="inlineStr">
        <is>
          <t>Maybe</t>
        </is>
      </c>
      <c r="I120" s="2" t="inlineStr">
        <is>
          <t>Include</t>
        </is>
      </c>
      <c r="J120" s="2" t="inlineStr">
        <is>
          <t>INC</t>
        </is>
      </c>
      <c r="K120" s="2" t="inlineStr">
        <is>
          <t>Survey/perspective on automatic programming with LLMs and trust in generated code; conceptual framing.</t>
        </is>
      </c>
    </row>
    <row r="121">
      <c r="A121" s="2" t="n">
        <v>120</v>
      </c>
      <c r="B121" s="2" t="inlineStr">
        <is>
          <t>A097</t>
        </is>
      </c>
      <c r="C121" s="2" t="inlineStr">
        <is>
          <t>Alsaleh et al.</t>
        </is>
      </c>
      <c r="D121" s="2" t="inlineStr">
        <is>
          <t>2025</t>
        </is>
      </c>
      <c r="E121" s="2" t="inlineStr">
        <is>
          <t>Enhancing Software Usability Through LLMs: A Prompting and Fine-Tuning Framework for Analyzing Negative User Feedback</t>
        </is>
      </c>
      <c r="F121" s="2" t="inlineStr">
        <is>
          <t>Computers</t>
        </is>
      </c>
      <c r="G121" s="2" t="inlineStr">
        <is>
          <t>10.3390/computers14090363</t>
        </is>
      </c>
      <c r="H121" s="2" t="inlineStr">
        <is>
          <t>Exclude</t>
        </is>
      </c>
      <c r="I121" s="2" t="inlineStr">
        <is>
          <t>Not assessed</t>
        </is>
      </c>
      <c r="J121" s="2" t="inlineStr">
        <is>
          <t>E1a</t>
        </is>
      </c>
      <c r="K121" s="2" t="inlineStr">
        <is>
          <t>LLM framework extracting usability recommendations from app reviews; user-feedback analysis.</t>
        </is>
      </c>
    </row>
    <row r="122">
      <c r="A122" s="2" t="n">
        <v>121</v>
      </c>
      <c r="B122" s="2" t="inlineStr">
        <is>
          <t>A098</t>
        </is>
      </c>
      <c r="C122" s="2" t="inlineStr">
        <is>
          <t>Kessel &amp; Atkinson</t>
        </is>
      </c>
      <c r="D122" s="2" t="inlineStr">
        <is>
          <t>2025</t>
        </is>
      </c>
      <c r="E122" s="2" t="inlineStr">
        <is>
          <t>N-Version Assessment and Enhancement of Generative AI: Differential GAI</t>
        </is>
      </c>
      <c r="F122" s="2" t="inlineStr">
        <is>
          <t>IEEE Software</t>
        </is>
      </c>
      <c r="G122" s="2" t="inlineStr">
        <is>
          <t>10.1109/ms.2024.3469388</t>
        </is>
      </c>
      <c r="H122" s="2" t="inlineStr">
        <is>
          <t>Exclude</t>
        </is>
      </c>
      <c r="I122" s="2" t="inlineStr">
        <is>
          <t>Not assessed</t>
        </is>
      </c>
      <c r="J122" s="2" t="inlineStr">
        <is>
          <t>E1d</t>
        </is>
      </c>
      <c r="K122" s="2" t="inlineStr">
        <is>
          <t>Conceptual N-version proposal to improve GenAI code quality; no empirical measurement.</t>
        </is>
      </c>
    </row>
    <row r="123">
      <c r="A123" s="2" t="n">
        <v>122</v>
      </c>
      <c r="B123" s="2" t="inlineStr">
        <is>
          <t>A099</t>
        </is>
      </c>
      <c r="C123" s="2" t="inlineStr">
        <is>
          <t>Jabrw &amp; Sarhan</t>
        </is>
      </c>
      <c r="D123" s="2" t="inlineStr">
        <is>
          <t>2025</t>
        </is>
      </c>
      <c r="E123" s="2" t="inlineStr">
        <is>
          <t>A Systematic Survey on Large Language Models for Code Generation</t>
        </is>
      </c>
      <c r="F123" s="2" t="inlineStr">
        <is>
          <t>ARO-The Scientific Journal of Koya University</t>
        </is>
      </c>
      <c r="G123" s="2" t="inlineStr">
        <is>
          <t>10.14500/aro.12159</t>
        </is>
      </c>
      <c r="H123" s="2" t="inlineStr">
        <is>
          <t>Exclude</t>
        </is>
      </c>
      <c r="I123" s="2" t="inlineStr">
        <is>
          <t>Not assessed</t>
        </is>
      </c>
      <c r="J123" s="2" t="inlineStr">
        <is>
          <t>E1b</t>
        </is>
      </c>
      <c r="K123" s="2" t="inlineStr">
        <is>
          <t>Systematic survey of LLM code generation reporting pass@k and BLEU; no TD.</t>
        </is>
      </c>
    </row>
    <row r="124">
      <c r="A124" s="2" t="n">
        <v>123</v>
      </c>
      <c r="B124" s="2" t="inlineStr">
        <is>
          <t>A100</t>
        </is>
      </c>
      <c r="C124" s="2" t="inlineStr">
        <is>
          <t>Zeng et al.</t>
        </is>
      </c>
      <c r="D124" s="2" t="inlineStr">
        <is>
          <t>2025</t>
        </is>
      </c>
      <c r="E124" s="2" t="inlineStr">
        <is>
          <t>Optimizing Large Language Models’ Performance in Software Development Tasks through Structured Prompts</t>
        </is>
      </c>
      <c r="F124" s="2" t="inlineStr">
        <is>
          <t>WSEAS Transactions on Computer Research</t>
        </is>
      </c>
      <c r="G124" s="2" t="inlineStr">
        <is>
          <t>10.37394/232018.2025.13.42</t>
        </is>
      </c>
      <c r="H124" s="2" t="inlineStr">
        <is>
          <t>Maybe</t>
        </is>
      </c>
      <c r="I124" s="2" t="inlineStr">
        <is>
          <t>Include</t>
        </is>
      </c>
      <c r="J124" s="2" t="inlineStr">
        <is>
          <t>INC</t>
        </is>
      </c>
      <c r="K124" s="2" t="inlineStr">
        <is>
          <t>Structured prompts vs. direct prompting on 400 tasks; effect on accuracy and a composite code-quality score.</t>
        </is>
      </c>
    </row>
    <row r="125">
      <c r="A125" s="2" t="n">
        <v>124</v>
      </c>
      <c r="B125" s="2" t="inlineStr">
        <is>
          <t>A101</t>
        </is>
      </c>
      <c r="C125" s="2" t="inlineStr">
        <is>
          <t>Bhatnagar</t>
        </is>
      </c>
      <c r="D125" s="2" t="inlineStr">
        <is>
          <t>2026</t>
        </is>
      </c>
      <c r="E125" s="2" t="inlineStr">
        <is>
          <t>Modernization of enterprise payment infrastructure: A case study on LLM-assisted migration of legacy distributed systems</t>
        </is>
      </c>
      <c r="F125" s="2" t="inlineStr">
        <is>
          <t>Array</t>
        </is>
      </c>
      <c r="G125" s="2" t="inlineStr">
        <is>
          <t>10.1016/j.array.2026.100806</t>
        </is>
      </c>
      <c r="H125" s="2" t="inlineStr">
        <is>
          <t>Include</t>
        </is>
      </c>
      <c r="I125" s="2" t="inlineStr">
        <is>
          <t>Include</t>
        </is>
      </c>
      <c r="J125" s="2" t="inlineStr">
        <is>
          <t>INC</t>
        </is>
      </c>
      <c r="K125" s="2" t="inlineStr">
        <is>
          <t>Industrial case of LLM-assisted legacy migration under a human-in-the-loop framework.</t>
        </is>
      </c>
    </row>
    <row r="126">
      <c r="A126" s="2" t="n">
        <v>125</v>
      </c>
      <c r="B126" s="2" t="inlineStr">
        <is>
          <t>A102</t>
        </is>
      </c>
      <c r="C126" s="2" t="inlineStr">
        <is>
          <t>Vyas &amp; Bhardwaj</t>
        </is>
      </c>
      <c r="D126" s="2" t="inlineStr">
        <is>
          <t>2026</t>
        </is>
      </c>
      <c r="E126" s="2" t="inlineStr">
        <is>
          <t>Comparative Evaluation of ChatGPT and DeepSeek for Competitive Programming: International Collegiate Programming Contest Case</t>
        </is>
      </c>
      <c r="F126" s="2" t="inlineStr">
        <is>
          <t>International Journal of Intelligent Systems</t>
        </is>
      </c>
      <c r="G126" s="2" t="inlineStr">
        <is>
          <t>10.1155/int/7757033</t>
        </is>
      </c>
      <c r="H126" s="2" t="inlineStr">
        <is>
          <t>Exclude</t>
        </is>
      </c>
      <c r="I126" s="2" t="inlineStr">
        <is>
          <t>Not assessed</t>
        </is>
      </c>
      <c r="J126" s="2" t="inlineStr">
        <is>
          <t>E1b</t>
        </is>
      </c>
      <c r="K126" s="2" t="inlineStr">
        <is>
          <t>ChatGPT vs. DeepSeek on 145 ICPC problems; algorithmic accuracy only.</t>
        </is>
      </c>
    </row>
    <row r="127">
      <c r="A127" s="2" t="n">
        <v>126</v>
      </c>
      <c r="B127" s="2" t="inlineStr">
        <is>
          <t>A103</t>
        </is>
      </c>
      <c r="C127" s="2" t="inlineStr">
        <is>
          <t>Pirouzkhah et al.</t>
        </is>
      </c>
      <c r="D127" s="2" t="inlineStr">
        <is>
          <t>2026</t>
        </is>
      </c>
      <c r="E127" s="2" t="inlineStr">
        <is>
          <t>The price of precision: the cost of preprocessing for automated code revision in code review</t>
        </is>
      </c>
      <c r="F127" s="2" t="inlineStr">
        <is>
          <t>Empirical Software Engineering</t>
        </is>
      </c>
      <c r="G127" s="2" t="inlineStr">
        <is>
          <t>10.1007/s10664-025-10781-4</t>
        </is>
      </c>
      <c r="H127" s="2" t="inlineStr">
        <is>
          <t>Exclude</t>
        </is>
      </c>
      <c r="I127" s="2" t="inlineStr">
        <is>
          <t>Not assessed</t>
        </is>
      </c>
      <c r="J127" s="2" t="inlineStr">
        <is>
          <t>E1a</t>
        </is>
      </c>
      <c r="K127" s="2" t="inlineStr">
        <is>
          <t>Effect of data preprocessing on training automated code-revision models; ML training, no AI-TD.</t>
        </is>
      </c>
    </row>
    <row r="128">
      <c r="A128" s="2" t="n">
        <v>127</v>
      </c>
      <c r="B128" s="2" t="inlineStr">
        <is>
          <t>A104</t>
        </is>
      </c>
      <c r="C128" s="2" t="inlineStr">
        <is>
          <t>He et al.</t>
        </is>
      </c>
      <c r="D128" s="2" t="inlineStr">
        <is>
          <t>2025</t>
        </is>
      </c>
      <c r="E128" s="2" t="inlineStr">
        <is>
          <t>LLM-Based Multi-Agent Systems for Software Engineering: Literature Review, Vision, and the Road Ahead</t>
        </is>
      </c>
      <c r="F128" s="2" t="inlineStr">
        <is>
          <t>ACM Transactions on Software Engineering and Methodology</t>
        </is>
      </c>
      <c r="G128" s="2" t="inlineStr">
        <is>
          <t>10.1145/3712003</t>
        </is>
      </c>
      <c r="H128" s="2" t="inlineStr">
        <is>
          <t>Exclude</t>
        </is>
      </c>
      <c r="I128" s="2" t="inlineStr">
        <is>
          <t>Not assessed</t>
        </is>
      </c>
      <c r="J128" s="2" t="inlineStr">
        <is>
          <t>E1d</t>
        </is>
      </c>
      <c r="K128" s="2" t="inlineStr">
        <is>
          <t>Literature review of LLM multi-agent systems for SE; general survey without TD measurement.</t>
        </is>
      </c>
    </row>
    <row r="129">
      <c r="A129" s="2" t="n">
        <v>128</v>
      </c>
      <c r="B129" s="2" t="inlineStr">
        <is>
          <t>A122</t>
        </is>
      </c>
      <c r="C129" s="2" t="inlineStr">
        <is>
          <t>Tao et al.</t>
        </is>
      </c>
      <c r="D129" s="2" t="inlineStr">
        <is>
          <t>2024</t>
        </is>
      </c>
      <c r="E129" s="2" t="inlineStr">
        <is>
          <t>Enhancing Program Synthesis with Large Language Models Using Many-Objective Grammar-Guided Genetic Programming</t>
        </is>
      </c>
      <c r="F129" s="2" t="inlineStr">
        <is>
          <t>Algorithms</t>
        </is>
      </c>
      <c r="G129" s="2" t="inlineStr">
        <is>
          <t>10.3390/a17070287</t>
        </is>
      </c>
      <c r="H129" s="2" t="inlineStr">
        <is>
          <t>Exclude</t>
        </is>
      </c>
      <c r="I129" s="2" t="inlineStr">
        <is>
          <t>Not assessed</t>
        </is>
      </c>
      <c r="J129" s="2" t="inlineStr">
        <is>
          <t>E1b</t>
        </is>
      </c>
      <c r="K129" s="2" t="inlineStr">
        <is>
          <t>LLM + grammar-guided genetic programming for program synthesis; quality equals grammar conformance, no TD metrics.</t>
        </is>
      </c>
    </row>
    <row r="130">
      <c r="A130" s="2" t="n">
        <v>129</v>
      </c>
      <c r="B130" s="2" t="inlineStr">
        <is>
          <t>A123</t>
        </is>
      </c>
      <c r="C130" s="2" t="inlineStr">
        <is>
          <t>Ahmed &amp; Eisty</t>
        </is>
      </c>
      <c r="D130" s="2" t="inlineStr">
        <is>
          <t>2025</t>
        </is>
      </c>
      <c r="E130" s="2" t="inlineStr">
        <is>
          <t>Hold on! is my feedback useful? evaluating the usefulness of code review comments</t>
        </is>
      </c>
      <c r="F130" s="2" t="inlineStr">
        <is>
          <t>Empirical Software Engineering</t>
        </is>
      </c>
      <c r="G130" s="2" t="inlineStr">
        <is>
          <t>10.1007/s10664-025-10617-1</t>
        </is>
      </c>
      <c r="H130" s="2" t="inlineStr">
        <is>
          <t>Exclude</t>
        </is>
      </c>
      <c r="I130" s="2" t="inlineStr">
        <is>
          <t>Not assessed</t>
        </is>
      </c>
      <c r="J130" s="2" t="inlineStr">
        <is>
          <t>E1a</t>
        </is>
      </c>
      <c r="K130" s="2" t="inlineStr">
        <is>
          <t>Predicting the usefulness of code-review comments with GPT-4o; text analysis.</t>
        </is>
      </c>
    </row>
    <row r="131">
      <c r="A131" s="2" t="n">
        <v>130</v>
      </c>
      <c r="B131" s="2" t="inlineStr">
        <is>
          <t>A124</t>
        </is>
      </c>
      <c r="C131" s="2" t="inlineStr">
        <is>
          <t>MacArthur</t>
        </is>
      </c>
      <c r="D131" s="2" t="inlineStr">
        <is>
          <t>2025</t>
        </is>
      </c>
      <c r="E131" s="2" t="inlineStr">
        <is>
          <t>Large language models and the problem of rhetorical debt</t>
        </is>
      </c>
      <c r="F131" s="2" t="inlineStr">
        <is>
          <t>AI and Society</t>
        </is>
      </c>
      <c r="G131" s="2" t="inlineStr">
        <is>
          <t>10.1007/s00146-025-02403-w</t>
        </is>
      </c>
      <c r="H131" s="2" t="inlineStr">
        <is>
          <t>Exclude</t>
        </is>
      </c>
      <c r="I131" s="2" t="inlineStr">
        <is>
          <t>Not assessed</t>
        </is>
      </c>
      <c r="J131" s="2" t="inlineStr">
        <is>
          <t>E1a</t>
        </is>
      </c>
      <c r="K131" s="2" t="inlineStr">
        <is>
          <t>Metaphorical rhetorical debt in writing (digital humanities); not software.</t>
        </is>
      </c>
    </row>
    <row r="132">
      <c r="A132" s="2" t="n">
        <v>131</v>
      </c>
      <c r="B132" s="2" t="inlineStr">
        <is>
          <t>A125</t>
        </is>
      </c>
      <c r="C132" s="2" t="inlineStr">
        <is>
          <t>Rong et al.</t>
        </is>
      </c>
      <c r="D132" s="2" t="inlineStr">
        <is>
          <t>2025</t>
        </is>
      </c>
      <c r="E132" s="2" t="inlineStr">
        <is>
          <t>Integrating LLM-based code optimization with human-like exclusionary reasoning for computational education</t>
        </is>
      </c>
      <c r="F132" s="2" t="inlineStr">
        <is>
          <t>Journal of King Saud University - Computer and Information Sciences</t>
        </is>
      </c>
      <c r="G132" s="2" t="inlineStr">
        <is>
          <t>10.1007/s44443-025-00074-7</t>
        </is>
      </c>
      <c r="H132" s="2" t="inlineStr">
        <is>
          <t>Exclude</t>
        </is>
      </c>
      <c r="I132" s="2" t="inlineStr">
        <is>
          <t>Not assessed</t>
        </is>
      </c>
      <c r="J132" s="2" t="inlineStr">
        <is>
          <t>E1b</t>
        </is>
      </c>
      <c r="K132" s="2" t="inlineStr">
        <is>
          <t>LLM code optimization as a virtual tutor evaluated with pass@k; no TD metrics.</t>
        </is>
      </c>
    </row>
    <row r="133">
      <c r="A133" s="2" t="n">
        <v>132</v>
      </c>
      <c r="B133" s="2" t="inlineStr">
        <is>
          <t>A126</t>
        </is>
      </c>
      <c r="C133" s="2" t="inlineStr">
        <is>
          <t>Neyem et al.</t>
        </is>
      </c>
      <c r="D133" s="2" t="inlineStr">
        <is>
          <t>2024</t>
        </is>
      </c>
      <c r="E133" s="2" t="inlineStr">
        <is>
          <t>Enhancing commit message quality in software capstone projects with generative AI</t>
        </is>
      </c>
      <c r="F133" s="2" t="inlineStr">
        <is>
          <t>SoftwareX</t>
        </is>
      </c>
      <c r="G133" s="2" t="inlineStr">
        <is>
          <t>10.1016/j.softx.2024.101947</t>
        </is>
      </c>
      <c r="H133" s="2" t="inlineStr">
        <is>
          <t>Include</t>
        </is>
      </c>
      <c r="I133" s="2" t="inlineStr">
        <is>
          <t>Include</t>
        </is>
      </c>
      <c r="J133" s="2" t="inlineStr">
        <is>
          <t>INC</t>
        </is>
      </c>
      <c r="K133" s="2" t="inlineStr">
        <is>
          <t>GenAI tool for commit-message quality in university capstone projects (Chile).</t>
        </is>
      </c>
    </row>
    <row r="134">
      <c r="A134" s="2" t="n">
        <v>133</v>
      </c>
      <c r="B134" s="2" t="inlineStr">
        <is>
          <t>A127</t>
        </is>
      </c>
      <c r="C134" s="2" t="inlineStr">
        <is>
          <t>Tony et al.</t>
        </is>
      </c>
      <c r="D134" s="2" t="inlineStr">
        <is>
          <t>2025</t>
        </is>
      </c>
      <c r="E134" s="2" t="inlineStr">
        <is>
          <t>Prompting Techniques for Secure Code Generation: A Systematic Investigation</t>
        </is>
      </c>
      <c r="F134" s="2" t="inlineStr">
        <is>
          <t>ACM Transactions on Software Engineering and Methodology</t>
        </is>
      </c>
      <c r="G134" s="2" t="inlineStr">
        <is>
          <t>10.1145/3722108</t>
        </is>
      </c>
      <c r="H134" s="2" t="inlineStr">
        <is>
          <t>Include</t>
        </is>
      </c>
      <c r="I134" s="2" t="inlineStr">
        <is>
          <t>Include</t>
        </is>
      </c>
      <c r="J134" s="2" t="inlineStr">
        <is>
          <t>INC</t>
        </is>
      </c>
      <c r="K134" s="2" t="inlineStr">
        <is>
          <t>SLR plus evaluation of prompting techniques for secure LLM code generation.</t>
        </is>
      </c>
    </row>
    <row r="135">
      <c r="A135" s="2" t="n">
        <v>134</v>
      </c>
      <c r="B135" s="2" t="inlineStr">
        <is>
          <t>A128</t>
        </is>
      </c>
      <c r="C135" s="2" t="inlineStr">
        <is>
          <t>Damayanti et al.</t>
        </is>
      </c>
      <c r="D135" s="2" t="inlineStr">
        <is>
          <t>2025</t>
        </is>
      </c>
      <c r="E135" s="2" t="inlineStr">
        <is>
          <t>Bibliometric and Content Analysis of Large Language Models Research in Software Engineering: The Potential and Limitation in Software Engineering</t>
        </is>
      </c>
      <c r="F135" s="2" t="inlineStr">
        <is>
          <t>International Journal of Advanced Computer Science and Applications</t>
        </is>
      </c>
      <c r="G135" s="2" t="inlineStr">
        <is>
          <t>10.14569/ijacsa.2025.0160436</t>
        </is>
      </c>
      <c r="H135" s="2" t="inlineStr">
        <is>
          <t>Exclude</t>
        </is>
      </c>
      <c r="I135" s="2" t="inlineStr">
        <is>
          <t>Not assessed</t>
        </is>
      </c>
      <c r="J135" s="2" t="inlineStr">
        <is>
          <t>E1d</t>
        </is>
      </c>
      <c r="K135" s="2" t="inlineStr">
        <is>
          <t>Bibliometric and content analysis of LLM research in SE; no TD measurement.</t>
        </is>
      </c>
    </row>
    <row r="136">
      <c r="A136" s="2" t="n">
        <v>135</v>
      </c>
      <c r="B136" s="2" t="inlineStr">
        <is>
          <t>A129</t>
        </is>
      </c>
      <c r="C136" s="2" t="inlineStr">
        <is>
          <t>Gao et al.</t>
        </is>
      </c>
      <c r="D136" s="2" t="inlineStr">
        <is>
          <t>2025</t>
        </is>
      </c>
      <c r="E136" s="2" t="inlineStr">
        <is>
          <t>Research on Hybrid Collaborative Development Model Based on Multi-Dimensional Behavioral Information</t>
        </is>
      </c>
      <c r="F136" s="2" t="inlineStr">
        <is>
          <t>Applied Sciences (Switzerland)</t>
        </is>
      </c>
      <c r="G136" s="2" t="inlineStr">
        <is>
          <t>10.3390/app15094907</t>
        </is>
      </c>
      <c r="H136" s="2" t="inlineStr">
        <is>
          <t>Exclude</t>
        </is>
      </c>
      <c r="I136" s="2" t="inlineStr">
        <is>
          <t>Not assessed</t>
        </is>
      </c>
      <c r="J136" s="2" t="inlineStr">
        <is>
          <t>E1d</t>
        </is>
      </c>
      <c r="K136" s="2" t="inlineStr">
        <is>
          <t>Conceptual hybrid collaborative development model (mixture of experts + RL); no TD measurement.</t>
        </is>
      </c>
    </row>
    <row r="137">
      <c r="A137" s="2" t="n">
        <v>136</v>
      </c>
      <c r="B137" s="2" t="inlineStr">
        <is>
          <t>A130</t>
        </is>
      </c>
      <c r="C137" s="2" t="inlineStr">
        <is>
          <t>de-Fitero-Dominguez et al.</t>
        </is>
      </c>
      <c r="D137" s="2" t="inlineStr">
        <is>
          <t>2026</t>
        </is>
      </c>
      <c r="E137" s="2" t="inlineStr">
        <is>
          <t>Self-bootstrapping automated program repair: using LLMs to generate and evaluate synthetic training data for bug repair</t>
        </is>
      </c>
      <c r="F137" s="2" t="inlineStr">
        <is>
          <t>Expert Systems with Applications</t>
        </is>
      </c>
      <c r="G137" s="2" t="inlineStr">
        <is>
          <t>10.1016/j.eswa.2026.132154</t>
        </is>
      </c>
      <c r="H137" s="2" t="inlineStr">
        <is>
          <t>Exclude</t>
        </is>
      </c>
      <c r="I137" s="2" t="inlineStr">
        <is>
          <t>Not assessed</t>
        </is>
      </c>
      <c r="J137" s="2" t="inlineStr">
        <is>
          <t>E1a</t>
        </is>
      </c>
      <c r="K137" s="2" t="inlineStr">
        <is>
          <t>Self-bootstrapping program repair with LLM-generated training data; code quality used only to vet training data.</t>
        </is>
      </c>
    </row>
    <row r="138">
      <c r="A138" s="2" t="n">
        <v>137</v>
      </c>
      <c r="B138" s="2" t="inlineStr">
        <is>
          <t>A131</t>
        </is>
      </c>
      <c r="C138" s="2" t="inlineStr">
        <is>
          <t>Mohammed Salih &amp; Sarhan</t>
        </is>
      </c>
      <c r="D138" s="2" t="inlineStr">
        <is>
          <t>2025</t>
        </is>
      </c>
      <c r="E138" s="2" t="inlineStr">
        <is>
          <t>A Systematic Survey on Large Language Models for Static Code Analysis</t>
        </is>
      </c>
      <c r="F138" s="2" t="inlineStr">
        <is>
          <t>ARO-The Scientific Journal of Koya University</t>
        </is>
      </c>
      <c r="G138" s="2" t="inlineStr">
        <is>
          <t>10.14500/aro.12082</t>
        </is>
      </c>
      <c r="H138" s="2" t="inlineStr">
        <is>
          <t>Include</t>
        </is>
      </c>
      <c r="I138" s="2" t="inlineStr">
        <is>
          <t>Include</t>
        </is>
      </c>
      <c r="J138" s="2" t="inlineStr">
        <is>
          <t>INC</t>
        </is>
      </c>
      <c r="K138" s="2" t="inlineStr">
        <is>
          <t>Systematic survey of LLMs for static code analysis (applications, prompting strategies, challenges).</t>
        </is>
      </c>
    </row>
    <row r="139">
      <c r="A139" s="2" t="n">
        <v>138</v>
      </c>
      <c r="B139" s="2" t="inlineStr">
        <is>
          <t>A132</t>
        </is>
      </c>
      <c r="C139" s="2" t="inlineStr">
        <is>
          <t>Keshireddy</t>
        </is>
      </c>
      <c r="D139" s="2" t="inlineStr">
        <is>
          <t>2025</t>
        </is>
      </c>
      <c r="E139" s="2" t="inlineStr">
        <is>
          <t>Low-Code Development Enhancement Integrating Large Language Models for Intelligent Code Assistance in Oracle APEX</t>
        </is>
      </c>
      <c r="F139" s="2" t="inlineStr">
        <is>
          <t>Indian Journal of Information Sources and Services</t>
        </is>
      </c>
      <c r="G139" s="2" t="inlineStr">
        <is>
          <t>10.51983/ijiss-2025.ijiss.15.2.46</t>
        </is>
      </c>
      <c r="H139" s="2" t="inlineStr">
        <is>
          <t>Exclude</t>
        </is>
      </c>
      <c r="I139" s="2" t="inlineStr">
        <is>
          <t>Not assessed</t>
        </is>
      </c>
      <c r="J139" s="2" t="inlineStr">
        <is>
          <t>E1b</t>
        </is>
      </c>
      <c r="K139" s="2" t="inlineStr">
        <is>
          <t>LLM assistance in Oracle APEX low-code development; productivity metrics only, no TD.</t>
        </is>
      </c>
    </row>
    <row r="140">
      <c r="A140" s="2" t="n">
        <v>139</v>
      </c>
      <c r="B140" s="2" t="inlineStr">
        <is>
          <t>A133</t>
        </is>
      </c>
      <c r="C140" s="2" t="inlineStr">
        <is>
          <t>Thode et al.</t>
        </is>
      </c>
      <c r="D140" s="2" t="inlineStr">
        <is>
          <t>2025</t>
        </is>
      </c>
      <c r="E140" s="2" t="inlineStr">
        <is>
          <t>Exploring the use of LLMs for the selection phase in systematic literature studies</t>
        </is>
      </c>
      <c r="F140" s="2" t="inlineStr">
        <is>
          <t>Information and Software Technology</t>
        </is>
      </c>
      <c r="G140" s="2" t="inlineStr">
        <is>
          <t>10.1016/j.infsof.2025.107757</t>
        </is>
      </c>
      <c r="H140" s="2" t="inlineStr">
        <is>
          <t>Exclude</t>
        </is>
      </c>
      <c r="I140" s="2" t="inlineStr">
        <is>
          <t>Not assessed</t>
        </is>
      </c>
      <c r="J140" s="2" t="inlineStr">
        <is>
          <t>E1a</t>
        </is>
      </c>
      <c r="K140" s="2" t="inlineStr">
        <is>
          <t>LLMs to automate the selection phase of systematic literature studies; meta-research.</t>
        </is>
      </c>
    </row>
    <row r="141">
      <c r="A141" s="2" t="n">
        <v>140</v>
      </c>
      <c r="B141" s="2" t="inlineStr">
        <is>
          <t>A134</t>
        </is>
      </c>
      <c r="C141" s="2" t="inlineStr">
        <is>
          <t>Zhang et al.</t>
        </is>
      </c>
      <c r="D141" s="2" t="inlineStr">
        <is>
          <t>2026</t>
        </is>
      </c>
      <c r="E141" s="2" t="inlineStr">
        <is>
          <t>Cloud-assisted LLM-enhanced datasets for AST hierarchy-aware code summarization model</t>
        </is>
      </c>
      <c r="F141" s="2" t="inlineStr">
        <is>
          <t>Journal of Cloud Computing</t>
        </is>
      </c>
      <c r="G141" s="2" t="inlineStr">
        <is>
          <t>10.1186/s13677-026-00852-2</t>
        </is>
      </c>
      <c r="H141" s="2" t="inlineStr">
        <is>
          <t>Exclude</t>
        </is>
      </c>
      <c r="I141" s="2" t="inlineStr">
        <is>
          <t>Not assessed</t>
        </is>
      </c>
      <c r="J141" s="2" t="inlineStr">
        <is>
          <t>E1a</t>
        </is>
      </c>
      <c r="K141" s="2" t="inlineStr">
        <is>
          <t>Code summarization with LLM-enhanced datasets (BLEU/METEOR/ROUGE); NLP task.</t>
        </is>
      </c>
    </row>
    <row r="142">
      <c r="A142" s="2" t="n">
        <v>141</v>
      </c>
      <c r="B142" s="2" t="inlineStr">
        <is>
          <t>A135</t>
        </is>
      </c>
      <c r="C142" s="2" t="inlineStr">
        <is>
          <t>Lu et al.</t>
        </is>
      </c>
      <c r="D142" s="2" t="inlineStr">
        <is>
          <t>2025</t>
        </is>
      </c>
      <c r="E142" s="2" t="inlineStr">
        <is>
          <t>CodeTranFix: A Neural Machine Translation Approach for Context-Aware Java Program Repair with CodeBERT</t>
        </is>
      </c>
      <c r="F142" s="2" t="inlineStr">
        <is>
          <t>Applied Sciences (Switzerland)</t>
        </is>
      </c>
      <c r="G142" s="2" t="inlineStr">
        <is>
          <t>10.3390/app15073632</t>
        </is>
      </c>
      <c r="H142" s="2" t="inlineStr">
        <is>
          <t>Exclude</t>
        </is>
      </c>
      <c r="I142" s="2" t="inlineStr">
        <is>
          <t>Not assessed</t>
        </is>
      </c>
      <c r="J142" s="2" t="inlineStr">
        <is>
          <t>E1a</t>
        </is>
      </c>
      <c r="K142" s="2" t="inlineStr">
        <is>
          <t>NMT + CodeBERT program repair on Defects4J; repair metrics, no AI-TD in LLM code.</t>
        </is>
      </c>
    </row>
  </sheetData>
  <autoFilter ref="A1:K1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0" customWidth="1" min="1" max="1"/>
    <col width="11.7" customWidth="1" min="2" max="2"/>
    <col width="18.9" customWidth="1" min="3" max="3"/>
    <col width="10" customWidth="1" min="4" max="4"/>
    <col width="60" customWidth="1" min="5" max="5"/>
    <col width="42.3" customWidth="1" min="6" max="6"/>
    <col width="27" customWidth="1" min="7" max="7"/>
    <col width="10" customWidth="1" min="8" max="8"/>
    <col width="10.8" customWidth="1" min="9" max="9"/>
    <col width="10" customWidth="1" min="10" max="10"/>
    <col width="60" customWidth="1" min="11" max="11"/>
  </cols>
  <sheetData>
    <row r="1">
      <c r="A1" s="3" t="inlineStr">
        <is>
          <t>n</t>
        </is>
      </c>
      <c r="B1" s="3" t="inlineStr">
        <is>
          <t>search_string</t>
        </is>
      </c>
      <c r="C1" s="3" t="inlineStr">
        <is>
          <t>first_author</t>
        </is>
      </c>
      <c r="D1" s="3" t="inlineStr">
        <is>
          <t>year</t>
        </is>
      </c>
      <c r="E1" s="3" t="inlineStr">
        <is>
          <t>title</t>
        </is>
      </c>
      <c r="F1" s="3" t="inlineStr">
        <is>
          <t>venue</t>
        </is>
      </c>
      <c r="G1" s="3" t="inlineStr">
        <is>
          <t>doi</t>
        </is>
      </c>
      <c r="H1" s="3" t="inlineStr">
        <is>
          <t>ta_decision</t>
        </is>
      </c>
      <c r="I1" s="3" t="inlineStr">
        <is>
          <t>ft_decision</t>
        </is>
      </c>
      <c r="J1" s="3" t="inlineStr">
        <is>
          <t>reason_code</t>
        </is>
      </c>
      <c r="K1" s="3" t="inlineStr">
        <is>
          <t>rationale</t>
        </is>
      </c>
    </row>
    <row r="2">
      <c r="A2" s="2" t="n">
        <v>1</v>
      </c>
      <c r="B2" s="2" t="inlineStr">
        <is>
          <t>B11</t>
        </is>
      </c>
      <c r="C2" s="2" t="inlineStr">
        <is>
          <t>Newcomb et al.</t>
        </is>
      </c>
      <c r="D2" s="2" t="inlineStr">
        <is>
          <t>2025</t>
        </is>
      </c>
      <c r="E2" s="2" t="inlineStr">
        <is>
          <t>Preconditions and Postconditions as Design Constraints for LLM Code Generation</t>
        </is>
      </c>
      <c r="F2" s="2" t="inlineStr">
        <is>
          <t>IEEE Access</t>
        </is>
      </c>
      <c r="G2" s="2" t="inlineStr">
        <is>
          <t>10.1109/access.2025.3625819</t>
        </is>
      </c>
      <c r="H2" s="2" t="inlineStr">
        <is>
          <t>Include</t>
        </is>
      </c>
      <c r="I2" s="2" t="inlineStr">
        <is>
          <t>Include</t>
        </is>
      </c>
      <c r="J2" s="2" t="inlineStr">
        <is>
          <t>INC</t>
        </is>
      </c>
      <c r="K2" s="2" t="inlineStr">
        <is>
          <t>Design-by-contract pre- and postconditions as structured specification before LLM generation; pass@k across six LLMs.</t>
        </is>
      </c>
    </row>
    <row r="3">
      <c r="A3" s="2" t="n">
        <v>2</v>
      </c>
      <c r="B3" s="2" t="inlineStr">
        <is>
          <t>B11</t>
        </is>
      </c>
      <c r="C3" s="2" t="inlineStr">
        <is>
          <t>Khaldi et al.</t>
        </is>
      </c>
      <c r="D3" s="2" t="inlineStr">
        <is>
          <t>2026</t>
        </is>
      </c>
      <c r="E3" s="2" t="inlineStr">
        <is>
          <t>Agentic-AI Framework for Integrated Design, Implementation, Testing, and Operation of Digital Twin Networks</t>
        </is>
      </c>
      <c r="F3" s="2" t="inlineStr">
        <is>
          <t>IEEE Open Journal of the Communications Society</t>
        </is>
      </c>
      <c r="G3" s="2" t="inlineStr">
        <is>
          <t>10.1109/ojcoms.2026.3686199</t>
        </is>
      </c>
      <c r="H3" s="2" t="inlineStr">
        <is>
          <t>Exclude</t>
        </is>
      </c>
      <c r="I3" s="2" t="inlineStr">
        <is>
          <t>Not assessed</t>
        </is>
      </c>
      <c r="J3" s="2" t="inlineStr">
        <is>
          <t>E1c</t>
        </is>
      </c>
      <c r="K3" s="2" t="inlineStr">
        <is>
          <t>Agentic-AI framework for 6G digital-twin networks; network KPIs, not code quality.</t>
        </is>
      </c>
    </row>
    <row r="4">
      <c r="A4" s="2" t="n">
        <v>3</v>
      </c>
      <c r="B4" s="2" t="inlineStr">
        <is>
          <t>B12</t>
        </is>
      </c>
      <c r="C4" s="2" t="inlineStr">
        <is>
          <t>Moskalenko</t>
        </is>
      </c>
      <c r="D4" s="2" t="inlineStr">
        <is>
          <t>2026</t>
        </is>
      </c>
      <c r="E4" s="2" t="inlineStr">
        <is>
          <t>DEVELOPMENT AND VERIFICATION OF AN ORCHESTRATION ARCHITECTURE OF AI AGENTS FOR AUTOMATED API TESTING WITH A UNIFIED REPRESENTATION OF REQUIREMENTS</t>
        </is>
      </c>
      <c r="F4" s="2" t="inlineStr">
        <is>
          <t>Technology Audit and Production Reserves</t>
        </is>
      </c>
      <c r="G4" s="2" t="inlineStr">
        <is>
          <t>10.15587/2706-5448.2026.360928</t>
        </is>
      </c>
      <c r="H4" s="2" t="inlineStr">
        <is>
          <t>Maybe</t>
        </is>
      </c>
      <c r="I4" s="2" t="inlineStr">
        <is>
          <t>Exclude</t>
        </is>
      </c>
      <c r="J4" s="2" t="inlineStr">
        <is>
          <t>FT-E</t>
        </is>
      </c>
      <c r="K4" s="2" t="inlineStr">
        <is>
          <t>Orchestration architecture for automated API testing; at full text the object is test generation, with no code-quality or debt measure.</t>
        </is>
      </c>
    </row>
    <row r="5">
      <c r="A5" s="2" t="n">
        <v>4</v>
      </c>
      <c r="B5" s="2" t="inlineStr">
        <is>
          <t>B12</t>
        </is>
      </c>
      <c r="C5" s="2" t="inlineStr">
        <is>
          <t>Hassani et al.</t>
        </is>
      </c>
      <c r="D5" s="2" t="inlineStr">
        <is>
          <t>2026</t>
        </is>
      </c>
      <c r="E5" s="2" t="inlineStr">
        <is>
          <t>From law to Gherkin: A human-centred quasi-experiment on the quality of LLM-generated behavioral specifications from food-safety regulations</t>
        </is>
      </c>
      <c r="F5" s="2" t="inlineStr">
        <is>
          <t>Information and Software Technology</t>
        </is>
      </c>
      <c r="G5" s="2" t="inlineStr">
        <is>
          <t>10.1016/j.infsof.2026.108122</t>
        </is>
      </c>
      <c r="H5" s="2" t="inlineStr">
        <is>
          <t>Exclude</t>
        </is>
      </c>
      <c r="I5" s="2" t="inlineStr">
        <is>
          <t>Not assessed</t>
        </is>
      </c>
      <c r="J5" s="2" t="inlineStr">
        <is>
          <t>E1a</t>
        </is>
      </c>
      <c r="K5" s="2" t="inlineStr">
        <is>
          <t>Generates BDD (Gherkin) specifications from legal texts; no code.</t>
        </is>
      </c>
    </row>
    <row r="6">
      <c r="A6" s="2" t="n">
        <v>5</v>
      </c>
      <c r="B6" s="2" t="inlineStr">
        <is>
          <t>B12</t>
        </is>
      </c>
      <c r="C6" s="2" t="inlineStr">
        <is>
          <t>Li &amp; Zheng</t>
        </is>
      </c>
      <c r="D6" s="2" t="inlineStr">
        <is>
          <t>2025</t>
        </is>
      </c>
      <c r="E6" s="2" t="inlineStr">
        <is>
          <t>Enhancing Requirements via Structured Formalization and Process-State Consistency Validation: An LLM-Assisted Test-Driven Framework</t>
        </is>
      </c>
      <c r="F6" s="2" t="inlineStr">
        <is>
          <t>IET Software</t>
        </is>
      </c>
      <c r="G6" s="2" t="inlineStr">
        <is>
          <t>10.1049/sfw2/6714956</t>
        </is>
      </c>
      <c r="H6" s="2" t="inlineStr">
        <is>
          <t>Exclude</t>
        </is>
      </c>
      <c r="I6" s="2" t="inlineStr">
        <is>
          <t>Not assessed</t>
        </is>
      </c>
      <c r="J6" s="2" t="inlineStr">
        <is>
          <t>E1a</t>
        </is>
      </c>
      <c r="K6" s="2" t="inlineStr">
        <is>
          <t>Structured formalization of use-case specifications and tests; the object is specifications and tests, not code.</t>
        </is>
      </c>
    </row>
    <row r="7">
      <c r="A7" s="2" t="n">
        <v>6</v>
      </c>
      <c r="B7" s="2" t="inlineStr">
        <is>
          <t>B12</t>
        </is>
      </c>
      <c r="C7" s="2" t="inlineStr">
        <is>
          <t>Jang &amp; Young Chul Kim</t>
        </is>
      </c>
      <c r="D7" s="2" t="inlineStr">
        <is>
          <t>2025</t>
        </is>
      </c>
      <c r="E7" s="2" t="inlineStr">
        <is>
          <t>Automatic Test Case Generation Mechanism With Natural Language-Based Korean Requirement Specifications</t>
        </is>
      </c>
      <c r="F7" s="2" t="inlineStr">
        <is>
          <t>IEEE Access</t>
        </is>
      </c>
      <c r="G7" s="2" t="inlineStr">
        <is>
          <t>10.1109/access.2025.3620431</t>
        </is>
      </c>
      <c r="H7" s="2" t="inlineStr">
        <is>
          <t>Exclude</t>
        </is>
      </c>
      <c r="I7" s="2" t="inlineStr">
        <is>
          <t>Not assessed</t>
        </is>
      </c>
      <c r="J7" s="2" t="inlineStr">
        <is>
          <t>E1a</t>
        </is>
      </c>
      <c r="K7" s="2" t="inlineStr">
        <is>
          <t>Model-driven test generation from Korean requirements; the LLM is only a baseline.</t>
        </is>
      </c>
    </row>
    <row r="8">
      <c r="A8" s="2" t="n">
        <v>7</v>
      </c>
      <c r="B8" s="2" t="inlineStr">
        <is>
          <t>B11</t>
        </is>
      </c>
      <c r="C8" s="2" t="inlineStr">
        <is>
          <t>Ahmed et al.</t>
        </is>
      </c>
      <c r="D8" s="2" t="inlineStr">
        <is>
          <t>2026</t>
        </is>
      </c>
      <c r="E8" s="2" t="inlineStr">
        <is>
          <t>VeriGen: An LLM-Augmented Framework for End-to-End Automation of Software Development Lifecycle-From Requirements Specifications to Code Generation</t>
        </is>
      </c>
      <c r="F8" s="2" t="inlineStr">
        <is>
          <t>IEEE Access</t>
        </is>
      </c>
      <c r="G8" s="2" t="inlineStr">
        <is>
          <t>10.1109/access.2026.3686308</t>
        </is>
      </c>
      <c r="H8" s="2" t="inlineStr">
        <is>
          <t>Include</t>
        </is>
      </c>
      <c r="I8" s="2" t="inlineStr">
        <is>
          <t>Exclude</t>
        </is>
      </c>
      <c r="J8" s="2" t="inlineStr">
        <is>
          <t>FT-E</t>
        </is>
      </c>
      <c r="K8" s="2" t="inlineStr">
        <is>
          <t>End-to-end SDLC pipeline (SRS to UML to skeleton code); at full text it measures artifact completeness, not code quality or debt.</t>
        </is>
      </c>
    </row>
    <row r="9">
      <c r="A9" s="2" t="n">
        <v>8</v>
      </c>
      <c r="B9" s="2" t="inlineStr">
        <is>
          <t>B11</t>
        </is>
      </c>
      <c r="C9" s="2" t="inlineStr">
        <is>
          <t>Zhu et al.</t>
        </is>
      </c>
      <c r="D9" s="2" t="inlineStr">
        <is>
          <t>2025</t>
        </is>
      </c>
      <c r="E9" s="2" t="inlineStr">
        <is>
          <t>An Automatic Code Generation Tool Using Generative Artificial Intelligence for Element Fill-in-the-Blank Problems in a Java Programming Learning Assistant System</t>
        </is>
      </c>
      <c r="F9" s="2" t="inlineStr">
        <is>
          <t>Electronics (Switzerland)</t>
        </is>
      </c>
      <c r="G9" s="2" t="inlineStr">
        <is>
          <t>10.3390/electronics14112261</t>
        </is>
      </c>
      <c r="H9" s="2" t="inlineStr">
        <is>
          <t>Exclude</t>
        </is>
      </c>
      <c r="I9" s="2" t="inlineStr">
        <is>
          <t>Not assessed</t>
        </is>
      </c>
      <c r="J9" s="2" t="inlineStr">
        <is>
          <t>E1a</t>
        </is>
      </c>
      <c r="K9" s="2" t="inlineStr">
        <is>
          <t>Generation of Java learning exercises; educational content, not AI-TD.</t>
        </is>
      </c>
    </row>
    <row r="10">
      <c r="A10" s="2" t="n">
        <v>9</v>
      </c>
      <c r="B10" s="2" t="inlineStr">
        <is>
          <t>B13</t>
        </is>
      </c>
      <c r="C10" s="2" t="inlineStr">
        <is>
          <t>Jin &amp; Chen</t>
        </is>
      </c>
      <c r="D10" s="2" t="inlineStr">
        <is>
          <t>2026</t>
        </is>
      </c>
      <c r="E10" s="2" t="inlineStr">
        <is>
          <t>Are LLMs reliable code reviewers? systematic overcorrection in requirement conformance judgement</t>
        </is>
      </c>
      <c r="F10" s="2" t="inlineStr">
        <is>
          <t>Automated Software Engineering</t>
        </is>
      </c>
      <c r="G10" s="2" t="inlineStr">
        <is>
          <t>10.1007/s10515-026-00638-5</t>
        </is>
      </c>
      <c r="H10" s="2" t="inlineStr">
        <is>
          <t>Include</t>
        </is>
      </c>
      <c r="I10" s="2" t="inlineStr">
        <is>
          <t>Include</t>
        </is>
      </c>
      <c r="J10" s="2" t="inlineStr">
        <is>
          <t>INC</t>
        </is>
      </c>
      <c r="K10" s="2" t="inlineStr">
        <is>
          <t>Reliability of LLMs as code reviewers: systematic over-correction in requirement-conformance judgement.</t>
        </is>
      </c>
    </row>
    <row r="11">
      <c r="A11" s="2" t="n">
        <v>10</v>
      </c>
      <c r="B11" s="2" t="inlineStr">
        <is>
          <t>B11</t>
        </is>
      </c>
      <c r="C11" s="2" t="inlineStr">
        <is>
          <t>Alaswad et al.</t>
        </is>
      </c>
      <c r="D11" s="2" t="inlineStr">
        <is>
          <t>2026</t>
        </is>
      </c>
      <c r="E11" s="2" t="inlineStr">
        <is>
          <t>AST-guided transformers for sustainable and reliable UML modeling</t>
        </is>
      </c>
      <c r="F11" s="2" t="inlineStr">
        <is>
          <t>Machine Learning with Applications</t>
        </is>
      </c>
      <c r="G11" s="2" t="inlineStr">
        <is>
          <t>10.1016/j.mlwa.2026.100940</t>
        </is>
      </c>
      <c r="H11" s="2" t="inlineStr">
        <is>
          <t>Exclude</t>
        </is>
      </c>
      <c r="I11" s="2" t="inlineStr">
        <is>
          <t>Not assessed</t>
        </is>
      </c>
      <c r="J11" s="2" t="inlineStr">
        <is>
          <t>E1a</t>
        </is>
      </c>
      <c r="K11" s="2" t="inlineStr">
        <is>
          <t>AST-guided transformers generating UML; the LLM is only a baseline.</t>
        </is>
      </c>
    </row>
    <row r="12">
      <c r="A12" s="2" t="n">
        <v>11</v>
      </c>
      <c r="B12" s="2" t="inlineStr">
        <is>
          <t>B11</t>
        </is>
      </c>
      <c r="C12" s="2" t="inlineStr">
        <is>
          <t>Lee &amp; Heo</t>
        </is>
      </c>
      <c r="D12" s="2" t="inlineStr">
        <is>
          <t>2026</t>
        </is>
      </c>
      <c r="E12" s="2" t="inlineStr">
        <is>
          <t>Expecto: Extracting Formal Specifications from Natural Language Description for Trustworthy Oracles</t>
        </is>
      </c>
      <c r="F12" s="2" t="inlineStr">
        <is>
          <t>Proceedings of the ACM on Programming Languages</t>
        </is>
      </c>
      <c r="G12" s="2" t="inlineStr">
        <is>
          <t>10.1145/3808332</t>
        </is>
      </c>
      <c r="H12" s="2" t="inlineStr">
        <is>
          <t>Include</t>
        </is>
      </c>
      <c r="I12" s="2" t="inlineStr">
        <is>
          <t>Include</t>
        </is>
      </c>
      <c r="J12" s="2" t="inlineStr">
        <is>
          <t>INC</t>
        </is>
      </c>
      <c r="K12" s="2" t="inlineStr">
        <is>
          <t>Neuro-symbolic extraction of formal specifications from natural language (specification-driven development) as test oracles.</t>
        </is>
      </c>
    </row>
    <row r="13">
      <c r="A13" s="2" t="n">
        <v>12</v>
      </c>
      <c r="B13" s="2" t="inlineStr">
        <is>
          <t>B11</t>
        </is>
      </c>
      <c r="C13" s="2" t="inlineStr">
        <is>
          <t>Akhtar &amp; Asif</t>
        </is>
      </c>
      <c r="D13" s="2" t="inlineStr">
        <is>
          <t>2026</t>
        </is>
      </c>
      <c r="E13" s="2" t="inlineStr">
        <is>
          <t>A Framework for Structurally Deterministic Pipeline Based Drafting and Quality Improvement of Software Requirements Specifications Using Language Models and Reinforcement Learning</t>
        </is>
      </c>
      <c r="F13" s="2" t="inlineStr">
        <is>
          <t>Information (Switzerland)</t>
        </is>
      </c>
      <c r="G13" s="2" t="inlineStr">
        <is>
          <t>10.3390/info17070670</t>
        </is>
      </c>
      <c r="H13" s="2" t="inlineStr">
        <is>
          <t>Exclude</t>
        </is>
      </c>
      <c r="I13" s="2" t="inlineStr">
        <is>
          <t>Not assessed</t>
        </is>
      </c>
      <c r="J13" s="2" t="inlineStr">
        <is>
          <t>E1a</t>
        </is>
      </c>
      <c r="K13" s="2" t="inlineStr">
        <is>
          <t>LLM + RL drafting of SRS documents; no code.</t>
        </is>
      </c>
    </row>
    <row r="14">
      <c r="A14" s="2" t="n">
        <v>13</v>
      </c>
      <c r="B14" s="2" t="inlineStr">
        <is>
          <t>B11</t>
        </is>
      </c>
      <c r="C14" s="2" t="inlineStr">
        <is>
          <t>Salem et al.</t>
        </is>
      </c>
      <c r="D14" s="2" t="inlineStr">
        <is>
          <t>2026</t>
        </is>
      </c>
      <c r="E14" s="2" t="inlineStr">
        <is>
          <t>AI-Driven Approaches to System Requirements and Test Case Generation: A New Paradigm in Software Engineering</t>
        </is>
      </c>
      <c r="F14" s="2" t="inlineStr">
        <is>
          <t>Technologies</t>
        </is>
      </c>
      <c r="G14" s="2" t="inlineStr">
        <is>
          <t>10.3390/technologies14050260</t>
        </is>
      </c>
      <c r="H14" s="2" t="inlineStr">
        <is>
          <t>Exclude</t>
        </is>
      </c>
      <c r="I14" s="2" t="inlineStr">
        <is>
          <t>Not assessed</t>
        </is>
      </c>
      <c r="J14" s="2" t="inlineStr">
        <is>
          <t>E1a</t>
        </is>
      </c>
      <c r="K14" s="2" t="inlineStr">
        <is>
          <t>AI-driven requirements and EFSM-based test-case generation; no code quality.</t>
        </is>
      </c>
    </row>
    <row r="15">
      <c r="A15" s="2" t="n">
        <v>14</v>
      </c>
      <c r="B15" s="2" t="inlineStr">
        <is>
          <t>B11</t>
        </is>
      </c>
      <c r="C15" s="2" t="inlineStr">
        <is>
          <t>Paiva et al.</t>
        </is>
      </c>
      <c r="D15" s="2" t="inlineStr">
        <is>
          <t>2026</t>
        </is>
      </c>
      <c r="E15" s="2" t="inlineStr">
        <is>
          <t>From issue titles to requirements: an empirical study of large language models and prompt engineering strategies</t>
        </is>
      </c>
      <c r="F15" s="2" t="inlineStr">
        <is>
          <t>Requirements Engineering</t>
        </is>
      </c>
      <c r="G15" s="2" t="inlineStr">
        <is>
          <t>10.1007/s00766-026-00462-z</t>
        </is>
      </c>
      <c r="H15" s="2" t="inlineStr">
        <is>
          <t>Exclude</t>
        </is>
      </c>
      <c r="I15" s="2" t="inlineStr">
        <is>
          <t>Not assessed</t>
        </is>
      </c>
      <c r="J15" s="2" t="inlineStr">
        <is>
          <t>E1a</t>
        </is>
      </c>
      <c r="K15" s="2" t="inlineStr">
        <is>
          <t>Generation and evaluation of requirements from issue titles; no code.</t>
        </is>
      </c>
    </row>
    <row r="16">
      <c r="A16" s="2" t="n">
        <v>15</v>
      </c>
      <c r="B16" s="2" t="inlineStr">
        <is>
          <t>B13</t>
        </is>
      </c>
      <c r="C16" s="2" t="inlineStr">
        <is>
          <t>Horvat et al.</t>
        </is>
      </c>
      <c r="D16" s="2" t="inlineStr">
        <is>
          <t>2026</t>
        </is>
      </c>
      <c r="E16" s="2" t="inlineStr">
        <is>
          <t>Comparative Evaluation of Gemini and DeepSeek for LLM-Generated Code Quality and Architectural Robustness in Backend Software Engineering</t>
        </is>
      </c>
      <c r="F16" s="2" t="inlineStr">
        <is>
          <t>Electronics (Switzerland)</t>
        </is>
      </c>
      <c r="G16" s="2" t="inlineStr">
        <is>
          <t>10.3390/electronics15132805</t>
        </is>
      </c>
      <c r="H16" s="2" t="inlineStr">
        <is>
          <t>Include</t>
        </is>
      </c>
      <c r="I16" s="2" t="inlineStr">
        <is>
          <t>Include</t>
        </is>
      </c>
      <c r="J16" s="2" t="inlineStr">
        <is>
          <t>INC</t>
        </is>
      </c>
      <c r="K16" s="2" t="inlineStr">
        <is>
          <t>Gemini vs. DeepSeek backend code: static quality, architectural coupling, and test coverage.</t>
        </is>
      </c>
    </row>
  </sheetData>
  <autoFilter ref="A1:K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0" customWidth="1" min="1" max="1"/>
    <col width="25.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3" t="inlineStr">
        <is>
          <t>id</t>
        </is>
      </c>
      <c r="B1" s="3" t="inlineStr">
        <is>
          <t>study</t>
        </is>
      </c>
      <c r="C1" s="3" t="inlineStr">
        <is>
          <t>QA1</t>
        </is>
      </c>
      <c r="D1" s="3" t="inlineStr">
        <is>
          <t>QA2</t>
        </is>
      </c>
      <c r="E1" s="3" t="inlineStr">
        <is>
          <t>QA3</t>
        </is>
      </c>
      <c r="F1" s="3" t="inlineStr">
        <is>
          <t>QA4</t>
        </is>
      </c>
      <c r="G1" s="3" t="inlineStr">
        <is>
          <t>QA5</t>
        </is>
      </c>
      <c r="H1" s="3" t="inlineStr">
        <is>
          <t>QA6</t>
        </is>
      </c>
      <c r="I1" s="3" t="inlineStr">
        <is>
          <t>total</t>
        </is>
      </c>
      <c r="J1" s="3" t="inlineStr">
        <is>
          <t>band</t>
        </is>
      </c>
    </row>
    <row r="2">
      <c r="A2" s="2" t="inlineStr">
        <is>
          <t>A002</t>
        </is>
      </c>
      <c r="B2" s="2" t="inlineStr">
        <is>
          <t>Patel (2026)</t>
        </is>
      </c>
      <c r="C2" s="2" t="n">
        <v>1</v>
      </c>
      <c r="D2" s="2" t="n">
        <v>0.5</v>
      </c>
      <c r="E2" s="2" t="n">
        <v>0</v>
      </c>
      <c r="F2" s="2" t="n">
        <v>0.5</v>
      </c>
      <c r="G2" s="2" t="n">
        <v>0</v>
      </c>
      <c r="H2" s="2" t="n">
        <v>0.5</v>
      </c>
      <c r="I2" s="2">
        <f>SUM(C2:H2)</f>
        <v/>
      </c>
      <c r="J2" s="2">
        <f>IF(I2&gt;=5,"H",IF(I2&gt;=3,"M","L"))</f>
        <v/>
      </c>
    </row>
    <row r="3">
      <c r="A3" s="2" t="inlineStr">
        <is>
          <t>A003</t>
        </is>
      </c>
      <c r="B3" s="2" t="inlineStr">
        <is>
          <t>Meske (2025)</t>
        </is>
      </c>
      <c r="C3" s="2" t="n">
        <v>1</v>
      </c>
      <c r="D3" s="2" t="n">
        <v>0.5</v>
      </c>
      <c r="E3" s="2" t="n">
        <v>0</v>
      </c>
      <c r="F3" s="2" t="n">
        <v>0.5</v>
      </c>
      <c r="G3" s="2" t="n">
        <v>0</v>
      </c>
      <c r="H3" s="2" t="n">
        <v>0.5</v>
      </c>
      <c r="I3" s="2">
        <f>SUM(C3:H3)</f>
        <v/>
      </c>
      <c r="J3" s="2">
        <f>IF(I3&gt;=5,"H",IF(I3&gt;=3,"M","L"))</f>
        <v/>
      </c>
    </row>
    <row r="4">
      <c r="A4" s="2" t="inlineStr">
        <is>
          <t>A007</t>
        </is>
      </c>
      <c r="B4" s="2" t="inlineStr">
        <is>
          <t>Dubey (2026)</t>
        </is>
      </c>
      <c r="C4" s="2" t="n">
        <v>1</v>
      </c>
      <c r="D4" s="2" t="n">
        <v>1</v>
      </c>
      <c r="E4" s="2" t="n">
        <v>0.5</v>
      </c>
      <c r="F4" s="2" t="n">
        <v>1</v>
      </c>
      <c r="G4" s="2" t="n">
        <v>1</v>
      </c>
      <c r="H4" s="2" t="n">
        <v>0.5</v>
      </c>
      <c r="I4" s="2">
        <f>SUM(C4:H4)</f>
        <v/>
      </c>
      <c r="J4" s="2">
        <f>IF(I4&gt;=5,"H",IF(I4&gt;=3,"M","L"))</f>
        <v/>
      </c>
    </row>
    <row r="5">
      <c r="A5" s="2" t="inlineStr">
        <is>
          <t>A008</t>
        </is>
      </c>
      <c r="B5" s="2" t="inlineStr">
        <is>
          <t>Alabdullatif (2026)</t>
        </is>
      </c>
      <c r="C5" s="2" t="n">
        <v>1</v>
      </c>
      <c r="D5" s="2" t="n">
        <v>1</v>
      </c>
      <c r="E5" s="2" t="n">
        <v>0.5</v>
      </c>
      <c r="F5" s="2" t="n">
        <v>1</v>
      </c>
      <c r="G5" s="2" t="n">
        <v>1</v>
      </c>
      <c r="H5" s="2" t="n">
        <v>0.5</v>
      </c>
      <c r="I5" s="2">
        <f>SUM(C5:H5)</f>
        <v/>
      </c>
      <c r="J5" s="2">
        <f>IF(I5&gt;=5,"H",IF(I5&gt;=3,"M","L"))</f>
        <v/>
      </c>
    </row>
    <row r="6">
      <c r="A6" s="2" t="inlineStr">
        <is>
          <t>A010</t>
        </is>
      </c>
      <c r="B6" s="2" t="inlineStr">
        <is>
          <t>Krebs (2025)</t>
        </is>
      </c>
      <c r="C6" s="2" t="n">
        <v>1</v>
      </c>
      <c r="D6" s="2" t="n">
        <v>1</v>
      </c>
      <c r="E6" s="2" t="n">
        <v>0.5</v>
      </c>
      <c r="F6" s="2" t="n">
        <v>1</v>
      </c>
      <c r="G6" s="2" t="n">
        <v>0.5</v>
      </c>
      <c r="H6" s="2" t="n">
        <v>0.5</v>
      </c>
      <c r="I6" s="2">
        <f>SUM(C6:H6)</f>
        <v/>
      </c>
      <c r="J6" s="2">
        <f>IF(I6&gt;=5,"H",IF(I6&gt;=3,"M","L"))</f>
        <v/>
      </c>
    </row>
    <row r="7">
      <c r="A7" s="2" t="inlineStr">
        <is>
          <t>A013</t>
        </is>
      </c>
      <c r="B7" s="2" t="inlineStr">
        <is>
          <t>Khojah (2025)</t>
        </is>
      </c>
      <c r="C7" s="2" t="n">
        <v>1</v>
      </c>
      <c r="D7" s="2" t="n">
        <v>1</v>
      </c>
      <c r="E7" s="2" t="n">
        <v>1</v>
      </c>
      <c r="F7" s="2" t="n">
        <v>1</v>
      </c>
      <c r="G7" s="2" t="n">
        <v>1</v>
      </c>
      <c r="H7" s="2" t="n">
        <v>1</v>
      </c>
      <c r="I7" s="2">
        <f>SUM(C7:H7)</f>
        <v/>
      </c>
      <c r="J7" s="2">
        <f>IF(I7&gt;=5,"H",IF(I7&gt;=3,"M","L"))</f>
        <v/>
      </c>
    </row>
    <row r="8">
      <c r="A8" s="2" t="inlineStr">
        <is>
          <t>A014</t>
        </is>
      </c>
      <c r="B8" s="2" t="inlineStr">
        <is>
          <t>Haindl (2024)</t>
        </is>
      </c>
      <c r="C8" s="2" t="n">
        <v>1</v>
      </c>
      <c r="D8" s="2" t="n">
        <v>1</v>
      </c>
      <c r="E8" s="2" t="n">
        <v>0.5</v>
      </c>
      <c r="F8" s="2" t="n">
        <v>0.5</v>
      </c>
      <c r="G8" s="2" t="n">
        <v>0.5</v>
      </c>
      <c r="H8" s="2" t="n">
        <v>0.5</v>
      </c>
      <c r="I8" s="2">
        <f>SUM(C8:H8)</f>
        <v/>
      </c>
      <c r="J8" s="2">
        <f>IF(I8&gt;=5,"H",IF(I8&gt;=3,"M","L"))</f>
        <v/>
      </c>
    </row>
    <row r="9">
      <c r="A9" s="2" t="inlineStr">
        <is>
          <t>A027</t>
        </is>
      </c>
      <c r="B9" s="2" t="inlineStr">
        <is>
          <t>Zhuo (2026)</t>
        </is>
      </c>
      <c r="C9" s="2" t="n">
        <v>1</v>
      </c>
      <c r="D9" s="2" t="n">
        <v>1</v>
      </c>
      <c r="E9" s="2" t="n">
        <v>0.5</v>
      </c>
      <c r="F9" s="2" t="n">
        <v>1</v>
      </c>
      <c r="G9" s="2" t="n">
        <v>1</v>
      </c>
      <c r="H9" s="2" t="n">
        <v>0.5</v>
      </c>
      <c r="I9" s="2">
        <f>SUM(C9:H9)</f>
        <v/>
      </c>
      <c r="J9" s="2">
        <f>IF(I9&gt;=5,"H",IF(I9&gt;=3,"M","L"))</f>
        <v/>
      </c>
    </row>
    <row r="10">
      <c r="A10" s="2" t="inlineStr">
        <is>
          <t>A037</t>
        </is>
      </c>
      <c r="B10" s="2" t="inlineStr">
        <is>
          <t>Alomar (2025)</t>
        </is>
      </c>
      <c r="C10" s="2" t="n">
        <v>1</v>
      </c>
      <c r="D10" s="2" t="n">
        <v>1</v>
      </c>
      <c r="E10" s="2" t="n">
        <v>1</v>
      </c>
      <c r="F10" s="2" t="n">
        <v>1</v>
      </c>
      <c r="G10" s="2" t="n">
        <v>1</v>
      </c>
      <c r="H10" s="2" t="n">
        <v>0.5</v>
      </c>
      <c r="I10" s="2">
        <f>SUM(C10:H10)</f>
        <v/>
      </c>
      <c r="J10" s="2">
        <f>IF(I10&gt;=5,"H",IF(I10&gt;=3,"M","L"))</f>
        <v/>
      </c>
    </row>
    <row r="11">
      <c r="A11" s="2" t="inlineStr">
        <is>
          <t>A040</t>
        </is>
      </c>
      <c r="B11" s="2" t="inlineStr">
        <is>
          <t>Gnieciak (2025)</t>
        </is>
      </c>
      <c r="C11" s="2" t="n">
        <v>1</v>
      </c>
      <c r="D11" s="2" t="n">
        <v>1</v>
      </c>
      <c r="E11" s="2" t="n">
        <v>0.5</v>
      </c>
      <c r="F11" s="2" t="n">
        <v>1</v>
      </c>
      <c r="G11" s="2" t="n">
        <v>0.5</v>
      </c>
      <c r="H11" s="2" t="n">
        <v>0.5</v>
      </c>
      <c r="I11" s="2">
        <f>SUM(C11:H11)</f>
        <v/>
      </c>
      <c r="J11" s="2">
        <f>IF(I11&gt;=5,"H",IF(I11&gt;=3,"M","L"))</f>
        <v/>
      </c>
    </row>
    <row r="12">
      <c r="A12" s="2" t="inlineStr">
        <is>
          <t>A041</t>
        </is>
      </c>
      <c r="B12" s="2" t="inlineStr">
        <is>
          <t>Mohammed Salih (2025)</t>
        </is>
      </c>
      <c r="C12" s="2" t="n">
        <v>1</v>
      </c>
      <c r="D12" s="2" t="n">
        <v>1</v>
      </c>
      <c r="E12" s="2" t="n">
        <v>1</v>
      </c>
      <c r="F12" s="2" t="n">
        <v>1</v>
      </c>
      <c r="G12" s="2" t="n">
        <v>1</v>
      </c>
      <c r="H12" s="2" t="n">
        <v>0.5</v>
      </c>
      <c r="I12" s="2">
        <f>SUM(C12:H12)</f>
        <v/>
      </c>
      <c r="J12" s="2">
        <f>IF(I12&gt;=5,"H",IF(I12&gt;=3,"M","L"))</f>
        <v/>
      </c>
    </row>
    <row r="13">
      <c r="A13" s="2" t="inlineStr">
        <is>
          <t>A045</t>
        </is>
      </c>
      <c r="B13" s="2" t="inlineStr">
        <is>
          <t>Gheventer (2026)</t>
        </is>
      </c>
      <c r="C13" s="2" t="n">
        <v>1</v>
      </c>
      <c r="D13" s="2" t="n">
        <v>1</v>
      </c>
      <c r="E13" s="2" t="n">
        <v>0.5</v>
      </c>
      <c r="F13" s="2" t="n">
        <v>0.5</v>
      </c>
      <c r="G13" s="2" t="n">
        <v>0.5</v>
      </c>
      <c r="H13" s="2" t="n">
        <v>0.5</v>
      </c>
      <c r="I13" s="2">
        <f>SUM(C13:H13)</f>
        <v/>
      </c>
      <c r="J13" s="2">
        <f>IF(I13&gt;=5,"H",IF(I13&gt;=3,"M","L"))</f>
        <v/>
      </c>
    </row>
    <row r="14">
      <c r="A14" s="2" t="inlineStr">
        <is>
          <t>A046</t>
        </is>
      </c>
      <c r="B14" s="2" t="inlineStr">
        <is>
          <t>Fawareh (2025)</t>
        </is>
      </c>
      <c r="C14" s="2" t="n">
        <v>1</v>
      </c>
      <c r="D14" s="2" t="n">
        <v>0.5</v>
      </c>
      <c r="E14" s="2" t="n">
        <v>0.5</v>
      </c>
      <c r="F14" s="2" t="n">
        <v>1</v>
      </c>
      <c r="G14" s="2" t="n">
        <v>0.5</v>
      </c>
      <c r="H14" s="2" t="n">
        <v>0.5</v>
      </c>
      <c r="I14" s="2">
        <f>SUM(C14:H14)</f>
        <v/>
      </c>
      <c r="J14" s="2">
        <f>IF(I14&gt;=5,"H",IF(I14&gt;=3,"M","L"))</f>
        <v/>
      </c>
    </row>
    <row r="15">
      <c r="A15" s="2" t="inlineStr">
        <is>
          <t>A052</t>
        </is>
      </c>
      <c r="B15" s="2" t="inlineStr">
        <is>
          <t>Patcas (2026)</t>
        </is>
      </c>
      <c r="C15" s="2" t="n">
        <v>1</v>
      </c>
      <c r="D15" s="2" t="n">
        <v>1</v>
      </c>
      <c r="E15" s="2" t="n">
        <v>1</v>
      </c>
      <c r="F15" s="2" t="n">
        <v>1</v>
      </c>
      <c r="G15" s="2" t="n">
        <v>1</v>
      </c>
      <c r="H15" s="2" t="n">
        <v>1</v>
      </c>
      <c r="I15" s="2">
        <f>SUM(C15:H15)</f>
        <v/>
      </c>
      <c r="J15" s="2">
        <f>IF(I15&gt;=5,"H",IF(I15&gt;=3,"M","L"))</f>
        <v/>
      </c>
    </row>
    <row r="16">
      <c r="A16" s="2" t="inlineStr">
        <is>
          <t>A053</t>
        </is>
      </c>
      <c r="B16" s="2" t="inlineStr">
        <is>
          <t>Tosi (2024)</t>
        </is>
      </c>
      <c r="C16" s="2" t="n">
        <v>1</v>
      </c>
      <c r="D16" s="2" t="n">
        <v>0.5</v>
      </c>
      <c r="E16" s="2" t="n">
        <v>0.5</v>
      </c>
      <c r="F16" s="2" t="n">
        <v>0.5</v>
      </c>
      <c r="G16" s="2" t="n">
        <v>0.5</v>
      </c>
      <c r="H16" s="2" t="n">
        <v>0.5</v>
      </c>
      <c r="I16" s="2">
        <f>SUM(C16:H16)</f>
        <v/>
      </c>
      <c r="J16" s="2">
        <f>IF(I16&gt;=5,"H",IF(I16&gt;=3,"M","L"))</f>
        <v/>
      </c>
    </row>
    <row r="17">
      <c r="A17" s="2" t="inlineStr">
        <is>
          <t>A057</t>
        </is>
      </c>
      <c r="B17" s="2" t="inlineStr">
        <is>
          <t>Sun (2026)</t>
        </is>
      </c>
      <c r="C17" s="2" t="n">
        <v>1</v>
      </c>
      <c r="D17" s="2" t="n">
        <v>1</v>
      </c>
      <c r="E17" s="2" t="n">
        <v>1</v>
      </c>
      <c r="F17" s="2" t="n">
        <v>1</v>
      </c>
      <c r="G17" s="2" t="n">
        <v>1</v>
      </c>
      <c r="H17" s="2" t="n">
        <v>1</v>
      </c>
      <c r="I17" s="2">
        <f>SUM(C17:H17)</f>
        <v/>
      </c>
      <c r="J17" s="2">
        <f>IF(I17&gt;=5,"H",IF(I17&gt;=3,"M","L"))</f>
        <v/>
      </c>
    </row>
    <row r="18">
      <c r="A18" s="2" t="inlineStr">
        <is>
          <t>A058</t>
        </is>
      </c>
      <c r="B18" s="2" t="inlineStr">
        <is>
          <t>Karabiyik (2025)</t>
        </is>
      </c>
      <c r="C18" s="2" t="n">
        <v>1</v>
      </c>
      <c r="D18" s="2" t="n">
        <v>0.5</v>
      </c>
      <c r="E18" s="2" t="n">
        <v>0.5</v>
      </c>
      <c r="F18" s="2" t="n">
        <v>0.5</v>
      </c>
      <c r="G18" s="2" t="n">
        <v>0.5</v>
      </c>
      <c r="H18" s="2" t="n">
        <v>0</v>
      </c>
      <c r="I18" s="2">
        <f>SUM(C18:H18)</f>
        <v/>
      </c>
      <c r="J18" s="2">
        <f>IF(I18&gt;=5,"H",IF(I18&gt;=3,"M","L"))</f>
        <v/>
      </c>
    </row>
    <row r="19">
      <c r="A19" s="2" t="inlineStr">
        <is>
          <t>A061</t>
        </is>
      </c>
      <c r="B19" s="2" t="inlineStr">
        <is>
          <t>Tkachuk (2025)</t>
        </is>
      </c>
      <c r="C19" s="2" t="n">
        <v>1</v>
      </c>
      <c r="D19" s="2" t="n">
        <v>0.5</v>
      </c>
      <c r="E19" s="2" t="n">
        <v>0.5</v>
      </c>
      <c r="F19" s="2" t="n">
        <v>0.5</v>
      </c>
      <c r="G19" s="2" t="n">
        <v>0.5</v>
      </c>
      <c r="H19" s="2" t="n">
        <v>0</v>
      </c>
      <c r="I19" s="2">
        <f>SUM(C19:H19)</f>
        <v/>
      </c>
      <c r="J19" s="2">
        <f>IF(I19&gt;=5,"H",IF(I19&gt;=3,"M","L"))</f>
        <v/>
      </c>
    </row>
    <row r="20">
      <c r="A20" s="2" t="inlineStr">
        <is>
          <t>A069</t>
        </is>
      </c>
      <c r="B20" s="2" t="inlineStr">
        <is>
          <t>Althani (2026)</t>
        </is>
      </c>
      <c r="C20" s="2" t="n">
        <v>1</v>
      </c>
      <c r="D20" s="2" t="n">
        <v>1</v>
      </c>
      <c r="E20" s="2" t="n">
        <v>1</v>
      </c>
      <c r="F20" s="2" t="n">
        <v>1</v>
      </c>
      <c r="G20" s="2" t="n">
        <v>1</v>
      </c>
      <c r="H20" s="2" t="n">
        <v>1</v>
      </c>
      <c r="I20" s="2">
        <f>SUM(C20:H20)</f>
        <v/>
      </c>
      <c r="J20" s="2">
        <f>IF(I20&gt;=5,"H",IF(I20&gt;=3,"M","L"))</f>
        <v/>
      </c>
    </row>
    <row r="21">
      <c r="A21" s="2" t="inlineStr">
        <is>
          <t>A070</t>
        </is>
      </c>
      <c r="B21" s="2" t="inlineStr">
        <is>
          <t>Arcelli Fontana (2025)</t>
        </is>
      </c>
      <c r="C21" s="2" t="n">
        <v>1</v>
      </c>
      <c r="D21" s="2" t="n">
        <v>1</v>
      </c>
      <c r="E21" s="2" t="n">
        <v>1</v>
      </c>
      <c r="F21" s="2" t="n">
        <v>1</v>
      </c>
      <c r="G21" s="2" t="n">
        <v>1</v>
      </c>
      <c r="H21" s="2" t="n">
        <v>0.5</v>
      </c>
      <c r="I21" s="2">
        <f>SUM(C21:H21)</f>
        <v/>
      </c>
      <c r="J21" s="2">
        <f>IF(I21&gt;=5,"H",IF(I21&gt;=3,"M","L"))</f>
        <v/>
      </c>
    </row>
    <row r="22">
      <c r="A22" s="2" t="inlineStr">
        <is>
          <t>A074</t>
        </is>
      </c>
      <c r="B22" s="2" t="inlineStr">
        <is>
          <t>Kuanyshev (2026)</t>
        </is>
      </c>
      <c r="C22" s="2" t="n">
        <v>1</v>
      </c>
      <c r="D22" s="2" t="n">
        <v>0.5</v>
      </c>
      <c r="E22" s="2" t="n">
        <v>0.5</v>
      </c>
      <c r="F22" s="2" t="n">
        <v>1</v>
      </c>
      <c r="G22" s="2" t="n">
        <v>0.5</v>
      </c>
      <c r="H22" s="2" t="n">
        <v>0.5</v>
      </c>
      <c r="I22" s="2">
        <f>SUM(C22:H22)</f>
        <v/>
      </c>
      <c r="J22" s="2">
        <f>IF(I22&gt;=5,"H",IF(I22&gt;=3,"M","L"))</f>
        <v/>
      </c>
    </row>
    <row r="23">
      <c r="A23" s="2" t="inlineStr">
        <is>
          <t>A090</t>
        </is>
      </c>
      <c r="B23" s="2" t="inlineStr">
        <is>
          <t>Simon (2026)</t>
        </is>
      </c>
      <c r="C23" s="2" t="n">
        <v>1</v>
      </c>
      <c r="D23" s="2" t="n">
        <v>1</v>
      </c>
      <c r="E23" s="2" t="n">
        <v>1</v>
      </c>
      <c r="F23" s="2" t="n">
        <v>1</v>
      </c>
      <c r="G23" s="2" t="n">
        <v>1</v>
      </c>
      <c r="H23" s="2" t="n">
        <v>0.5</v>
      </c>
      <c r="I23" s="2">
        <f>SUM(C23:H23)</f>
        <v/>
      </c>
      <c r="J23" s="2">
        <f>IF(I23&gt;=5,"H",IF(I23&gt;=3,"M","L"))</f>
        <v/>
      </c>
    </row>
    <row r="24">
      <c r="A24" s="2" t="inlineStr">
        <is>
          <t>A096</t>
        </is>
      </c>
      <c r="B24" s="2" t="inlineStr">
        <is>
          <t>Lyu (2025)</t>
        </is>
      </c>
      <c r="C24" s="2" t="n">
        <v>1</v>
      </c>
      <c r="D24" s="2" t="n">
        <v>0.5</v>
      </c>
      <c r="E24" s="2" t="n">
        <v>0</v>
      </c>
      <c r="F24" s="2" t="n">
        <v>0.5</v>
      </c>
      <c r="G24" s="2" t="n">
        <v>0</v>
      </c>
      <c r="H24" s="2" t="n">
        <v>0</v>
      </c>
      <c r="I24" s="2">
        <f>SUM(C24:H24)</f>
        <v/>
      </c>
      <c r="J24" s="2">
        <f>IF(I24&gt;=5,"H",IF(I24&gt;=3,"M","L"))</f>
        <v/>
      </c>
    </row>
    <row r="25">
      <c r="A25" s="2" t="inlineStr">
        <is>
          <t>A100</t>
        </is>
      </c>
      <c r="B25" s="2" t="inlineStr">
        <is>
          <t>Zeng (2025)</t>
        </is>
      </c>
      <c r="C25" s="2" t="n">
        <v>1</v>
      </c>
      <c r="D25" s="2" t="n">
        <v>1</v>
      </c>
      <c r="E25" s="2" t="n">
        <v>1</v>
      </c>
      <c r="F25" s="2" t="n">
        <v>0.5</v>
      </c>
      <c r="G25" s="2" t="n">
        <v>0.5</v>
      </c>
      <c r="H25" s="2" t="n">
        <v>0.5</v>
      </c>
      <c r="I25" s="2">
        <f>SUM(C25:H25)</f>
        <v/>
      </c>
      <c r="J25" s="2">
        <f>IF(I25&gt;=5,"H",IF(I25&gt;=3,"M","L"))</f>
        <v/>
      </c>
    </row>
    <row r="26">
      <c r="A26" s="2" t="inlineStr">
        <is>
          <t>A101</t>
        </is>
      </c>
      <c r="B26" s="2" t="inlineStr">
        <is>
          <t>Bhatnagar (2026)</t>
        </is>
      </c>
      <c r="C26" s="2" t="n">
        <v>1</v>
      </c>
      <c r="D26" s="2" t="n">
        <v>1</v>
      </c>
      <c r="E26" s="2" t="n">
        <v>0.5</v>
      </c>
      <c r="F26" s="2" t="n">
        <v>1</v>
      </c>
      <c r="G26" s="2" t="n">
        <v>1</v>
      </c>
      <c r="H26" s="2" t="n">
        <v>0.5</v>
      </c>
      <c r="I26" s="2">
        <f>SUM(C26:H26)</f>
        <v/>
      </c>
      <c r="J26" s="2">
        <f>IF(I26&gt;=5,"H",IF(I26&gt;=3,"M","L"))</f>
        <v/>
      </c>
    </row>
    <row r="27">
      <c r="A27" s="2" t="inlineStr">
        <is>
          <t>A106</t>
        </is>
      </c>
      <c r="B27" s="2" t="inlineStr">
        <is>
          <t>Dolcetti (2026)</t>
        </is>
      </c>
      <c r="C27" s="2" t="n">
        <v>1</v>
      </c>
      <c r="D27" s="2" t="n">
        <v>1</v>
      </c>
      <c r="E27" s="2" t="n">
        <v>0.5</v>
      </c>
      <c r="F27" s="2" t="n">
        <v>1</v>
      </c>
      <c r="G27" s="2" t="n">
        <v>1</v>
      </c>
      <c r="H27" s="2" t="n">
        <v>0.5</v>
      </c>
      <c r="I27" s="2">
        <f>SUM(C27:H27)</f>
        <v/>
      </c>
      <c r="J27" s="2">
        <f>IF(I27&gt;=5,"H",IF(I27&gt;=3,"M","L"))</f>
        <v/>
      </c>
    </row>
    <row r="28">
      <c r="A28" s="2" t="inlineStr">
        <is>
          <t>A111</t>
        </is>
      </c>
      <c r="B28" s="2" t="inlineStr">
        <is>
          <t>Moreschini (2026)</t>
        </is>
      </c>
      <c r="C28" s="2" t="n">
        <v>1</v>
      </c>
      <c r="D28" s="2" t="n">
        <v>1</v>
      </c>
      <c r="E28" s="2" t="n">
        <v>1</v>
      </c>
      <c r="F28" s="2" t="n">
        <v>0.5</v>
      </c>
      <c r="G28" s="2" t="n">
        <v>0.5</v>
      </c>
      <c r="H28" s="2" t="n">
        <v>0.5</v>
      </c>
      <c r="I28" s="2">
        <f>SUM(C28:H28)</f>
        <v/>
      </c>
      <c r="J28" s="2">
        <f>IF(I28&gt;=5,"H",IF(I28&gt;=3,"M","L"))</f>
        <v/>
      </c>
    </row>
    <row r="29">
      <c r="A29" s="2" t="inlineStr">
        <is>
          <t>A113</t>
        </is>
      </c>
      <c r="B29" s="2" t="inlineStr">
        <is>
          <t>Sagodi (2024)</t>
        </is>
      </c>
      <c r="C29" s="2" t="n">
        <v>1</v>
      </c>
      <c r="D29" s="2" t="n">
        <v>1</v>
      </c>
      <c r="E29" s="2" t="n">
        <v>0.5</v>
      </c>
      <c r="F29" s="2" t="n">
        <v>1</v>
      </c>
      <c r="G29" s="2" t="n">
        <v>0.5</v>
      </c>
      <c r="H29" s="2" t="n">
        <v>0.5</v>
      </c>
      <c r="I29" s="2">
        <f>SUM(C29:H29)</f>
        <v/>
      </c>
      <c r="J29" s="2">
        <f>IF(I29&gt;=5,"H",IF(I29&gt;=3,"M","L"))</f>
        <v/>
      </c>
    </row>
    <row r="30">
      <c r="A30" s="2" t="inlineStr">
        <is>
          <t>A117</t>
        </is>
      </c>
      <c r="B30" s="2" t="inlineStr">
        <is>
          <t>Mejía (2024)</t>
        </is>
      </c>
      <c r="C30" s="2" t="n">
        <v>1</v>
      </c>
      <c r="D30" s="2" t="n">
        <v>0.5</v>
      </c>
      <c r="E30" s="2" t="n">
        <v>0.5</v>
      </c>
      <c r="F30" s="2" t="n">
        <v>0.5</v>
      </c>
      <c r="G30" s="2" t="n">
        <v>0.5</v>
      </c>
      <c r="H30" s="2" t="n">
        <v>0</v>
      </c>
      <c r="I30" s="2">
        <f>SUM(C30:H30)</f>
        <v/>
      </c>
      <c r="J30" s="2">
        <f>IF(I30&gt;=5,"H",IF(I30&gt;=3,"M","L"))</f>
        <v/>
      </c>
    </row>
    <row r="31">
      <c r="A31" s="2" t="inlineStr">
        <is>
          <t>A126</t>
        </is>
      </c>
      <c r="B31" s="2" t="inlineStr">
        <is>
          <t>Neyem (2024)</t>
        </is>
      </c>
      <c r="C31" s="2" t="n">
        <v>1</v>
      </c>
      <c r="D31" s="2" t="n">
        <v>0.5</v>
      </c>
      <c r="E31" s="2" t="n">
        <v>0.5</v>
      </c>
      <c r="F31" s="2" t="n">
        <v>0.5</v>
      </c>
      <c r="G31" s="2" t="n">
        <v>0.5</v>
      </c>
      <c r="H31" s="2" t="n">
        <v>0.5</v>
      </c>
      <c r="I31" s="2">
        <f>SUM(C31:H31)</f>
        <v/>
      </c>
      <c r="J31" s="2">
        <f>IF(I31&gt;=5,"H",IF(I31&gt;=3,"M","L"))</f>
        <v/>
      </c>
    </row>
    <row r="32">
      <c r="A32" s="2" t="inlineStr">
        <is>
          <t>A127</t>
        </is>
      </c>
      <c r="B32" s="2" t="inlineStr">
        <is>
          <t>Tony (2025)</t>
        </is>
      </c>
      <c r="C32" s="2" t="n">
        <v>1</v>
      </c>
      <c r="D32" s="2" t="n">
        <v>1</v>
      </c>
      <c r="E32" s="2" t="n">
        <v>1</v>
      </c>
      <c r="F32" s="2" t="n">
        <v>1</v>
      </c>
      <c r="G32" s="2" t="n">
        <v>1</v>
      </c>
      <c r="H32" s="2" t="n">
        <v>0.5</v>
      </c>
      <c r="I32" s="2">
        <f>SUM(C32:H32)</f>
        <v/>
      </c>
      <c r="J32" s="2">
        <f>IF(I32&gt;=5,"H",IF(I32&gt;=3,"M","L"))</f>
        <v/>
      </c>
    </row>
    <row r="33">
      <c r="A33" s="2" t="inlineStr">
        <is>
          <t>A131</t>
        </is>
      </c>
      <c r="B33" s="2" t="inlineStr">
        <is>
          <t>Mohammed Salih (2025) survey</t>
        </is>
      </c>
      <c r="C33" s="2" t="n">
        <v>1</v>
      </c>
      <c r="D33" s="2" t="n">
        <v>1</v>
      </c>
      <c r="E33" s="2" t="n">
        <v>0.5</v>
      </c>
      <c r="F33" s="2" t="n">
        <v>0.5</v>
      </c>
      <c r="G33" s="2" t="n">
        <v>0.5</v>
      </c>
      <c r="H33" s="2" t="n">
        <v>0.5</v>
      </c>
      <c r="I33" s="2">
        <f>SUM(C33:H33)</f>
        <v/>
      </c>
      <c r="J33" s="2">
        <f>IF(I33&gt;=5,"H",IF(I33&gt;=3,"M","L"))</f>
        <v/>
      </c>
    </row>
    <row r="34">
      <c r="A34" s="2" t="inlineStr">
        <is>
          <t>C01</t>
        </is>
      </c>
      <c r="B34" s="2" t="inlineStr">
        <is>
          <t>Newcomb (2025)</t>
        </is>
      </c>
      <c r="C34" s="2" t="n">
        <v>1</v>
      </c>
      <c r="D34" s="2" t="n">
        <v>1</v>
      </c>
      <c r="E34" s="2" t="n">
        <v>1</v>
      </c>
      <c r="F34" s="2" t="n">
        <v>1</v>
      </c>
      <c r="G34" s="2" t="n">
        <v>1</v>
      </c>
      <c r="H34" s="2" t="n">
        <v>0.5</v>
      </c>
      <c r="I34" s="2">
        <f>SUM(C34:H34)</f>
        <v/>
      </c>
      <c r="J34" s="2">
        <f>IF(I34&gt;=5,"H",IF(I34&gt;=3,"M","L"))</f>
        <v/>
      </c>
    </row>
    <row r="35">
      <c r="A35" s="2" t="inlineStr">
        <is>
          <t>C02</t>
        </is>
      </c>
      <c r="B35" s="2" t="inlineStr">
        <is>
          <t>Jin (2026)</t>
        </is>
      </c>
      <c r="C35" s="2" t="n">
        <v>1</v>
      </c>
      <c r="D35" s="2" t="n">
        <v>1</v>
      </c>
      <c r="E35" s="2" t="n">
        <v>1</v>
      </c>
      <c r="F35" s="2" t="n">
        <v>1</v>
      </c>
      <c r="G35" s="2" t="n">
        <v>1</v>
      </c>
      <c r="H35" s="2" t="n">
        <v>0.5</v>
      </c>
      <c r="I35" s="2">
        <f>SUM(C35:H35)</f>
        <v/>
      </c>
      <c r="J35" s="2">
        <f>IF(I35&gt;=5,"H",IF(I35&gt;=3,"M","L"))</f>
        <v/>
      </c>
    </row>
    <row r="36">
      <c r="A36" s="2" t="inlineStr">
        <is>
          <t>C03</t>
        </is>
      </c>
      <c r="B36" s="2" t="inlineStr">
        <is>
          <t>Lee &amp; Heo (2026)</t>
        </is>
      </c>
      <c r="C36" s="2" t="n">
        <v>1</v>
      </c>
      <c r="D36" s="2" t="n">
        <v>1</v>
      </c>
      <c r="E36" s="2" t="n">
        <v>1</v>
      </c>
      <c r="F36" s="2" t="n">
        <v>1</v>
      </c>
      <c r="G36" s="2" t="n">
        <v>1</v>
      </c>
      <c r="H36" s="2" t="n">
        <v>0.5</v>
      </c>
      <c r="I36" s="2">
        <f>SUM(C36:H36)</f>
        <v/>
      </c>
      <c r="J36" s="2">
        <f>IF(I36&gt;=5,"H",IF(I36&gt;=3,"M","L"))</f>
        <v/>
      </c>
    </row>
    <row r="37">
      <c r="A37" s="2" t="inlineStr">
        <is>
          <t>C04</t>
        </is>
      </c>
      <c r="B37" s="2" t="inlineStr">
        <is>
          <t>Horvat (2026)</t>
        </is>
      </c>
      <c r="C37" s="2" t="n">
        <v>1</v>
      </c>
      <c r="D37" s="2" t="n">
        <v>1</v>
      </c>
      <c r="E37" s="2" t="n">
        <v>0.5</v>
      </c>
      <c r="F37" s="2" t="n">
        <v>1</v>
      </c>
      <c r="G37" s="2" t="n">
        <v>1</v>
      </c>
      <c r="H37" s="2" t="n">
        <v>0.5</v>
      </c>
      <c r="I37" s="2">
        <f>SUM(C37:H37)</f>
        <v/>
      </c>
      <c r="J37" s="2">
        <f>IF(I37&gt;=5,"H",IF(I37&gt;=3,"M","L"))</f>
        <v/>
      </c>
    </row>
  </sheetData>
  <autoFilter ref="A1:J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Supplementary material (anonymized)</dc:title>
  <dcterms:created xmlns:dcterms="http://purl.org/dc/terms/" xmlns:xsi="http://www.w3.org/2001/XMLSchema-instance" xsi:type="dcterms:W3CDTF">2026-10-03T20:59:08Z</dcterms:created>
  <dcterms:modified xmlns:dcterms="http://purl.org/dc/terms/" xmlns:xsi="http://www.w3.org/2001/XMLSchema-instance" xsi:type="dcterms:W3CDTF">2026-10-03T20:59:08Z</dcterms:modified>
  <cp:lastModifiedBy>Anonymous</cp:lastModifiedBy>
</cp:coreProperties>
</file>